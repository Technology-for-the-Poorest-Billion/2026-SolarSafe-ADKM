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<sst xmlns="http://schemas.openxmlformats.org/spreadsheetml/2006/main" count="58" uniqueCount="50">
  <si>
    <t>#</t>
  </si>
  <si>
    <t>Description</t>
  </si>
  <si>
    <t>Date</t>
  </si>
  <si>
    <t>Start</t>
  </si>
  <si>
    <t>End</t>
  </si>
  <si>
    <t>Dur</t>
  </si>
  <si>
    <t>cob #</t>
  </si>
  <si>
    <t>Starting Weight/g</t>
  </si>
  <si>
    <t>Ending Weight/g</t>
  </si>
  <si>
    <t>Weight Lost/%</t>
  </si>
  <si>
    <t>Drying Rate/g h^-1</t>
  </si>
  <si>
    <t>Percentage Weight Loss Rate/ % h^-1</t>
  </si>
  <si>
    <t>Weather Conditions</t>
  </si>
  <si>
    <t>Remarks</t>
  </si>
  <si>
    <t>Location of experiment grounds</t>
  </si>
  <si>
    <t>Experiment 1</t>
  </si>
  <si>
    <t>time</t>
  </si>
  <si>
    <t>temperature_2m (°C)</t>
  </si>
  <si>
    <t>relative_humidity_2m (%)</t>
  </si>
  <si>
    <t>cloud_cover (%)</t>
  </si>
  <si>
    <t>Trial</t>
  </si>
  <si>
    <t>total</t>
  </si>
  <si>
    <t>open-meteo</t>
  </si>
  <si>
    <t>Total of 4 cobs; on black surface</t>
  </si>
  <si>
    <t>Lat:</t>
  </si>
  <si>
    <t>Old mesh</t>
  </si>
  <si>
    <t>mesh 1</t>
  </si>
  <si>
    <t>cobettes; 4 on mesh, 4 on black surface (control)</t>
  </si>
  <si>
    <t>Long:</t>
  </si>
  <si>
    <t>mesh 2</t>
  </si>
  <si>
    <t>mesh 3</t>
  </si>
  <si>
    <t>mesh 4</t>
  </si>
  <si>
    <t>mesh avg.</t>
  </si>
  <si>
    <t>control 1</t>
  </si>
  <si>
    <t>control 2</t>
  </si>
  <si>
    <t>average</t>
  </si>
  <si>
    <t>control 3</t>
  </si>
  <si>
    <t>control 4</t>
  </si>
  <si>
    <t>avg temperature_2m (°C)</t>
  </si>
  <si>
    <t>avg relative_humidity_2m (%)</t>
  </si>
  <si>
    <t>avg cloud_cover (%)</t>
  </si>
  <si>
    <t>control avg.</t>
  </si>
  <si>
    <t>Bladder (failed)</t>
  </si>
  <si>
    <t>kernels; overnight without bladder; no rain</t>
  </si>
  <si>
    <t>kernels; overnight without bladder; with battery pack; rained</t>
  </si>
  <si>
    <t xml:space="preserve">kernels; overnight with bladder in bag; with battery pack (but removed halfway); rained
</t>
  </si>
  <si>
    <t>New mesh</t>
  </si>
  <si>
    <t>mesh</t>
  </si>
  <si>
    <t>kernels; 1 each on mesh and control</t>
  </si>
  <si>
    <t>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</si>
</sst>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"/>
    <numFmt numFmtId="165" formatCode="hhmm"/>
    <numFmt numFmtId="166" formatCode="hh:mm"/>
    <numFmt numFmtId="167" formatCode="&quot; &quot;hhmm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sz val="12.0"/>
      <color rgb="FF000000"/>
      <name val="&quot;Aptos Narrow&quot;"/>
    </font>
    <font>
      <sz val="12.0"/>
      <color rgb="FFFF0000"/>
      <name val="&quot;Aptos Narrow&quot;"/>
    </font>
    <font>
      <sz val="12.0"/>
      <color rgb="FF44B3E1"/>
      <name val="&quot;Aptos Narrow&quot;"/>
    </font>
    <font>
      <sz val="12.0"/>
      <color rgb="FFADADAD"/>
      <name val="&quot;Aptos Narrow&quot;"/>
    </font>
    <font>
      <u/>
      <sz val="10.0"/>
      <color rgb="FF0000FF"/>
    </font>
    <font>
      <u/>
      <sz val="10.0"/>
      <color rgb="FF0000FF"/>
    </font>
    <font/>
    <font>
      <u/>
      <sz val="10.0"/>
      <color rgb="FF0000FF"/>
    </font>
    <font>
      <u/>
      <sz val="10.0"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38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1" fillId="2" fontId="2" numFmtId="0" xfId="0" applyAlignment="1" applyBorder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0" fontId="6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readingOrder="0"/>
    </xf>
    <xf borderId="2" fillId="0" fontId="1" numFmtId="164" xfId="0" applyAlignment="1" applyBorder="1" applyFont="1" applyNumberFormat="1">
      <alignment readingOrder="0"/>
    </xf>
    <xf borderId="3" fillId="0" fontId="1" numFmtId="165" xfId="0" applyAlignment="1" applyBorder="1" applyFont="1" applyNumberFormat="1">
      <alignment readingOrder="0"/>
    </xf>
    <xf borderId="4" fillId="0" fontId="1" numFmtId="166" xfId="0" applyAlignment="1" applyBorder="1" applyFont="1" applyNumberFormat="1">
      <alignment readingOrder="0"/>
    </xf>
    <xf borderId="5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3" fillId="0" fontId="1" numFmtId="10" xfId="0" applyBorder="1" applyFont="1" applyNumberFormat="1"/>
    <xf borderId="3" fillId="0" fontId="1" numFmtId="4" xfId="0" applyBorder="1" applyFont="1" applyNumberFormat="1"/>
    <xf borderId="6" fillId="0" fontId="2" numFmtId="10" xfId="0" applyAlignment="1" applyBorder="1" applyFont="1" applyNumberFormat="1">
      <alignment readingOrder="0"/>
    </xf>
    <xf borderId="2" fillId="0" fontId="7" numFmtId="0" xfId="0" applyAlignment="1" applyBorder="1" applyFont="1">
      <alignment readingOrder="0"/>
    </xf>
    <xf borderId="4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3" numFmtId="166" xfId="0" applyAlignment="1" applyFont="1" applyNumberForma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7" fillId="0" fontId="1" numFmtId="0" xfId="0" applyAlignment="1" applyBorder="1" applyFont="1">
      <alignment readingOrder="0"/>
    </xf>
    <xf borderId="8" fillId="0" fontId="1" numFmtId="164" xfId="0" applyAlignment="1" applyBorder="1" applyFont="1" applyNumberFormat="1">
      <alignment readingOrder="0"/>
    </xf>
    <xf borderId="9" fillId="0" fontId="1" numFmtId="165" xfId="0" applyAlignment="1" applyBorder="1" applyFont="1" applyNumberFormat="1">
      <alignment readingOrder="0"/>
    </xf>
    <xf borderId="10" fillId="0" fontId="1" numFmtId="166" xfId="0" applyAlignment="1" applyBorder="1" applyFont="1" applyNumberFormat="1">
      <alignment readingOrder="0"/>
    </xf>
    <xf borderId="11" fillId="0" fontId="1" numFmtId="0" xfId="0" applyAlignment="1" applyBorder="1" applyFont="1">
      <alignment readingOrder="0"/>
    </xf>
    <xf borderId="12" fillId="0" fontId="1" numFmtId="0" xfId="0" applyAlignment="1" applyBorder="1" applyFont="1">
      <alignment readingOrder="0"/>
    </xf>
    <xf borderId="12" fillId="0" fontId="1" numFmtId="10" xfId="0" applyBorder="1" applyFont="1" applyNumberFormat="1"/>
    <xf borderId="12" fillId="0" fontId="1" numFmtId="0" xfId="0" applyBorder="1" applyFont="1"/>
    <xf borderId="13" fillId="0" fontId="2" numFmtId="10" xfId="0" applyAlignment="1" applyBorder="1" applyFont="1" applyNumberFormat="1">
      <alignment readingOrder="0"/>
    </xf>
    <xf borderId="8" fillId="0" fontId="8" numFmtId="0" xfId="0" applyAlignment="1" applyBorder="1" applyFont="1">
      <alignment readingOrder="0"/>
    </xf>
    <xf borderId="10" fillId="0" fontId="1" numFmtId="0" xfId="0" applyAlignment="1" applyBorder="1" applyFont="1">
      <alignment readingOrder="0" shrinkToFit="0" wrapText="1"/>
    </xf>
    <xf borderId="14" fillId="0" fontId="9" numFmtId="0" xfId="0" applyBorder="1" applyFont="1"/>
    <xf borderId="2" fillId="0" fontId="9" numFmtId="0" xfId="0" applyBorder="1" applyFont="1"/>
    <xf borderId="3" fillId="0" fontId="9" numFmtId="0" xfId="0" applyBorder="1" applyFont="1"/>
    <xf borderId="4" fillId="0" fontId="9" numFmtId="0" xfId="0" applyBorder="1" applyFont="1"/>
    <xf borderId="15" fillId="0" fontId="1" numFmtId="0" xfId="0" applyAlignment="1" applyBorder="1" applyFont="1">
      <alignment readingOrder="0"/>
    </xf>
    <xf borderId="16" fillId="0" fontId="1" numFmtId="0" xfId="0" applyAlignment="1" applyBorder="1" applyFont="1">
      <alignment readingOrder="0"/>
    </xf>
    <xf borderId="16" fillId="0" fontId="1" numFmtId="10" xfId="0" applyBorder="1" applyFont="1" applyNumberFormat="1"/>
    <xf borderId="16" fillId="0" fontId="1" numFmtId="0" xfId="0" applyBorder="1" applyFont="1"/>
    <xf borderId="17" fillId="0" fontId="2" numFmtId="10" xfId="0" applyAlignment="1" applyBorder="1" applyFont="1" applyNumberFormat="1">
      <alignment readingOrder="0"/>
    </xf>
    <xf borderId="18" fillId="0" fontId="1" numFmtId="0" xfId="0" applyAlignment="1" applyBorder="1" applyFont="1">
      <alignment readingOrder="0"/>
    </xf>
    <xf borderId="19" fillId="0" fontId="1" numFmtId="0" xfId="0" applyAlignment="1" applyBorder="1" applyFont="1">
      <alignment readingOrder="0"/>
    </xf>
    <xf borderId="19" fillId="0" fontId="1" numFmtId="10" xfId="0" applyBorder="1" applyFont="1" applyNumberFormat="1"/>
    <xf borderId="19" fillId="0" fontId="1" numFmtId="0" xfId="0" applyBorder="1" applyFont="1"/>
    <xf borderId="20" fillId="0" fontId="2" numFmtId="10" xfId="0" applyAlignment="1" applyBorder="1" applyFont="1" applyNumberFormat="1">
      <alignment readingOrder="0"/>
    </xf>
    <xf borderId="21" fillId="0" fontId="1" numFmtId="0" xfId="0" applyAlignment="1" applyBorder="1" applyFont="1">
      <alignment horizontal="right" readingOrder="0"/>
    </xf>
    <xf borderId="21" fillId="0" fontId="9" numFmtId="0" xfId="0" applyBorder="1" applyFont="1"/>
    <xf borderId="22" fillId="0" fontId="9" numFmtId="0" xfId="0" applyBorder="1" applyFont="1"/>
    <xf borderId="23" fillId="0" fontId="1" numFmtId="10" xfId="0" applyBorder="1" applyFont="1" applyNumberFormat="1"/>
    <xf borderId="23" fillId="0" fontId="1" numFmtId="0" xfId="0" applyBorder="1" applyFont="1"/>
    <xf borderId="24" fillId="0" fontId="2" numFmtId="10" xfId="0" applyAlignment="1" applyBorder="1" applyFont="1" applyNumberFormat="1">
      <alignment readingOrder="0"/>
    </xf>
    <xf borderId="25" fillId="0" fontId="1" numFmtId="0" xfId="0" applyAlignment="1" applyBorder="1" applyFont="1">
      <alignment readingOrder="0"/>
    </xf>
    <xf borderId="26" fillId="0" fontId="1" numFmtId="0" xfId="0" applyAlignment="1" applyBorder="1" applyFont="1">
      <alignment readingOrder="0"/>
    </xf>
    <xf borderId="26" fillId="0" fontId="1" numFmtId="10" xfId="0" applyBorder="1" applyFont="1" applyNumberFormat="1"/>
    <xf borderId="26" fillId="0" fontId="1" numFmtId="0" xfId="0" applyBorder="1" applyFont="1"/>
    <xf borderId="27" fillId="0" fontId="2" numFmtId="10" xfId="0" applyAlignment="1" applyBorder="1" applyFont="1" applyNumberForma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28" fillId="0" fontId="9" numFmtId="0" xfId="0" applyBorder="1" applyFont="1"/>
    <xf borderId="29" fillId="0" fontId="9" numFmtId="0" xfId="0" applyBorder="1" applyFont="1"/>
    <xf borderId="30" fillId="0" fontId="9" numFmtId="0" xfId="0" applyBorder="1" applyFont="1"/>
    <xf borderId="31" fillId="0" fontId="9" numFmtId="0" xfId="0" applyBorder="1" applyFont="1"/>
    <xf borderId="32" fillId="0" fontId="1" numFmtId="164" xfId="0" applyAlignment="1" applyBorder="1" applyFont="1" applyNumberFormat="1">
      <alignment readingOrder="0"/>
    </xf>
    <xf borderId="23" fillId="0" fontId="1" numFmtId="165" xfId="0" applyAlignment="1" applyBorder="1" applyFont="1" applyNumberFormat="1">
      <alignment readingOrder="0"/>
    </xf>
    <xf borderId="33" fillId="0" fontId="1" numFmtId="166" xfId="0" applyBorder="1" applyFont="1" applyNumberFormat="1"/>
    <xf borderId="22" fillId="0" fontId="1" numFmtId="0" xfId="0" applyAlignment="1" applyBorder="1" applyFont="1">
      <alignment readingOrder="0"/>
    </xf>
    <xf borderId="23" fillId="0" fontId="1" numFmtId="0" xfId="0" applyAlignment="1" applyBorder="1" applyFont="1">
      <alignment readingOrder="0"/>
    </xf>
    <xf borderId="32" fillId="0" fontId="10" numFmtId="0" xfId="0" applyAlignment="1" applyBorder="1" applyFont="1">
      <alignment readingOrder="0"/>
    </xf>
    <xf borderId="33" fillId="0" fontId="1" numFmtId="0" xfId="0" applyAlignment="1" applyBorder="1" applyFont="1">
      <alignment readingOrder="0" shrinkToFit="0" wrapText="1"/>
    </xf>
    <xf borderId="34" fillId="0" fontId="1" numFmtId="164" xfId="0" applyAlignment="1" applyBorder="1" applyFont="1" applyNumberFormat="1">
      <alignment readingOrder="0"/>
    </xf>
    <xf borderId="19" fillId="0" fontId="1" numFmtId="165" xfId="0" applyAlignment="1" applyBorder="1" applyFont="1" applyNumberFormat="1">
      <alignment readingOrder="0"/>
    </xf>
    <xf borderId="10" fillId="0" fontId="1" numFmtId="166" xfId="0" applyBorder="1" applyFont="1" applyNumberFormat="1"/>
    <xf borderId="35" fillId="0" fontId="2" numFmtId="10" xfId="0" applyAlignment="1" applyBorder="1" applyFont="1" applyNumberFormat="1">
      <alignment readingOrder="0"/>
    </xf>
    <xf borderId="34" fillId="0" fontId="11" numFmtId="0" xfId="0" applyAlignment="1" applyBorder="1" applyFont="1">
      <alignment readingOrder="0"/>
    </xf>
    <xf borderId="36" fillId="0" fontId="1" numFmtId="0" xfId="0" applyAlignment="1" applyBorder="1" applyFont="1">
      <alignment readingOrder="0" shrinkToFit="0" wrapText="1"/>
    </xf>
    <xf borderId="37" fillId="0" fontId="1" numFmtId="0" xfId="0" applyAlignment="1" applyBorder="1" applyFont="1">
      <alignment readingOrder="0"/>
    </xf>
    <xf borderId="30" fillId="0" fontId="1" numFmtId="0" xfId="0" applyAlignment="1" applyBorder="1" applyFont="1">
      <alignment readingOrder="0"/>
    </xf>
    <xf borderId="30" fillId="0" fontId="1" numFmtId="10" xfId="0" applyBorder="1" applyFont="1" applyNumberFormat="1"/>
    <xf borderId="30" fillId="0" fontId="1" numFmtId="0" xfId="0" applyBorder="1" applyFont="1"/>
    <xf borderId="0" fillId="0" fontId="1" numFmtId="167" xfId="0" applyFont="1" applyNumberFormat="1"/>
    <xf borderId="0" fillId="0" fontId="1" numFmtId="10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-meteo.com/en/docs?hourly=temperature_2m,relative_humidity_2m,cloud_cover&amp;bounding_box=-90,-180,90,180&amp;latitude=52.2&amp;longitude=0.12&amp;timezone=Europe%2FLondon&amp;time_mode=time_interval&amp;start_date=2026-05-30&amp;end_date=2026-05-30" TargetMode="External"/><Relationship Id="rId2" Type="http://schemas.openxmlformats.org/officeDocument/2006/relationships/hyperlink" Target="https://open-meteo.com/en/docs?hourly=temperature_2m,relative_humidity_2m,cloud_cover&amp;bounding_box=-90,-180,90,180&amp;latitude=52.2&amp;longitude=0.12&amp;timezone=Europe%2FLondon&amp;forecast_days=1&amp;time_mode=time_interval&amp;start_date=2026-05-31&amp;end_date=2026-05-31" TargetMode="External"/><Relationship Id="rId3" Type="http://schemas.openxmlformats.org/officeDocument/2006/relationships/hyperlink" Target="https://open-meteo.com/en/docs?hourly=temperature_2m,relative_humidity_2m,cloud_cover&amp;bounding_box=-90,-180,90,180&amp;latitude=52.2&amp;longitude=0.12&amp;timezone=Europe%2FLondon&amp;forecast_days=1&amp;time_mode=time_interval&amp;start_date=2026-06-02&amp;end_date=2026-06-03" TargetMode="External"/><Relationship Id="rId4" Type="http://schemas.openxmlformats.org/officeDocument/2006/relationships/hyperlink" Target="https://open-meteo.com/en/docs?hourly=temperature_2m,relative_humidity_2m,cloud_cover&amp;bounding_box=-90,-180,90,180&amp;latitude=52.2&amp;longitude=0.12&amp;timezone=Europe%2FLondon&amp;forecast_days=1&amp;time_mode=time_interval&amp;start_date=2026-06-04&amp;end_date=2026-06-05" TargetMode="External"/><Relationship Id="rId5" Type="http://schemas.openxmlformats.org/officeDocument/2006/relationships/hyperlink" Target="https://open-meteo.com/en/docs?hourly=temperature_2m,relative_humidity_2m,cloud_cover&amp;bounding_box=-90,-180,90,180&amp;latitude=52.2&amp;longitude=0.12&amp;timezone=Europe%2FLondon&amp;forecast_days=1&amp;time_mode=time_interval&amp;start_date=2026-06-05&amp;end_date=2026-06-06" TargetMode="External"/><Relationship Id="rId6" Type="http://schemas.openxmlformats.org/officeDocument/2006/relationships/hyperlink" Target="https://open-meteo.com/en/docs?hourly=temperature_2m,relative_humidity_2m,cloud_cover&amp;bounding_box=-90,-180,90,180&amp;latitude=52.2&amp;longitude=0.12&amp;timezone=Europe%2FLondon&amp;forecast_days=1&amp;time_mode=time_interval&amp;start_date=2026-06-08&amp;end_date=2026-06-08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.5"/>
    <col customWidth="1" min="2" max="2" width="12.13"/>
    <col customWidth="1" min="3" max="3" width="5.13"/>
    <col customWidth="1" min="4" max="5" width="4.75"/>
    <col customWidth="1" min="6" max="6" width="5.13"/>
    <col customWidth="1" min="7" max="7" width="7.13"/>
    <col customWidth="1" min="8" max="8" width="13.88"/>
    <col customWidth="1" min="9" max="9" width="13.25"/>
    <col customWidth="1" min="10" max="10" width="11.75"/>
    <col customWidth="1" min="11" max="11" width="14.88"/>
    <col customWidth="1" min="12" max="12" width="10.63"/>
    <col customWidth="1" min="13" max="13" width="15.75"/>
    <col customWidth="1" min="14" max="14" width="16.88"/>
    <col customWidth="1" min="20" max="20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3"/>
      <c r="P1" s="4" t="s">
        <v>14</v>
      </c>
      <c r="Q1" s="3"/>
      <c r="R1" s="4" t="s">
        <v>15</v>
      </c>
      <c r="S1" s="5" t="s">
        <v>16</v>
      </c>
      <c r="T1" s="6" t="s">
        <v>17</v>
      </c>
      <c r="U1" s="7" t="s">
        <v>18</v>
      </c>
      <c r="V1" s="8" t="s">
        <v>19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>
      <c r="A2" s="9">
        <v>1.0</v>
      </c>
      <c r="B2" s="9" t="s">
        <v>20</v>
      </c>
      <c r="C2" s="10">
        <v>46172.0</v>
      </c>
      <c r="D2" s="11">
        <v>46172.541666666664</v>
      </c>
      <c r="E2" s="11">
        <v>46172.791666666664</v>
      </c>
      <c r="F2" s="12">
        <f t="shared" ref="F2:F3" si="1">E2-D2</f>
        <v>0.25</v>
      </c>
      <c r="G2" s="13" t="s">
        <v>21</v>
      </c>
      <c r="H2" s="14">
        <v>796.0</v>
      </c>
      <c r="I2" s="14">
        <v>754.0</v>
      </c>
      <c r="J2" s="15">
        <f t="shared" ref="J2:J6" si="2">(H2-I2)/H2</f>
        <v>0.0527638191</v>
      </c>
      <c r="K2" s="16">
        <f>(H2-I2)/(HOUR(F2)+MINUTE(F2)/60)</f>
        <v>7</v>
      </c>
      <c r="L2" s="17">
        <f>(H2-I2)/(H2*(HOUR(F2)+MINUTE(F2)/60))</f>
        <v>0.008793969849</v>
      </c>
      <c r="M2" s="18" t="s">
        <v>22</v>
      </c>
      <c r="N2" s="19" t="s">
        <v>23</v>
      </c>
      <c r="P2" s="20" t="s">
        <v>24</v>
      </c>
      <c r="Q2" s="20">
        <v>52.2</v>
      </c>
      <c r="S2" s="21">
        <v>0.5416666666666666</v>
      </c>
      <c r="T2" s="22">
        <v>26.1</v>
      </c>
      <c r="U2" s="22">
        <v>35.0</v>
      </c>
      <c r="V2" s="22">
        <v>6.0</v>
      </c>
    </row>
    <row r="3">
      <c r="A3" s="23">
        <v>2.0</v>
      </c>
      <c r="B3" s="23" t="s">
        <v>25</v>
      </c>
      <c r="C3" s="24">
        <v>46173.0</v>
      </c>
      <c r="D3" s="25">
        <v>46173.458333333336</v>
      </c>
      <c r="E3" s="25">
        <v>46173.729166666664</v>
      </c>
      <c r="F3" s="26">
        <f t="shared" si="1"/>
        <v>0.2708333333</v>
      </c>
      <c r="G3" s="27" t="s">
        <v>26</v>
      </c>
      <c r="H3" s="28">
        <v>116.0</v>
      </c>
      <c r="I3" s="28">
        <v>104.0</v>
      </c>
      <c r="J3" s="29">
        <f t="shared" si="2"/>
        <v>0.1034482759</v>
      </c>
      <c r="K3" s="30">
        <f t="shared" ref="K3:K6" si="3">(H3-I3)/(HOUR(F$3)+MINUTE(F$3)/60)</f>
        <v>1.846153846</v>
      </c>
      <c r="L3" s="31">
        <f t="shared" ref="L3:L6" si="4">(H3-I3)/(H3*(HOUR(F$3)+MINUTE(F$3)/60))</f>
        <v>0.01591511936</v>
      </c>
      <c r="M3" s="32" t="s">
        <v>22</v>
      </c>
      <c r="N3" s="33" t="s">
        <v>27</v>
      </c>
      <c r="P3" s="20" t="s">
        <v>28</v>
      </c>
      <c r="Q3" s="20">
        <v>0.12</v>
      </c>
      <c r="S3" s="21">
        <v>0.5833333333333334</v>
      </c>
      <c r="T3" s="22">
        <v>26.8</v>
      </c>
      <c r="U3" s="22">
        <v>34.0</v>
      </c>
      <c r="V3" s="22">
        <v>100.0</v>
      </c>
    </row>
    <row r="4">
      <c r="A4" s="34"/>
      <c r="B4" s="34"/>
      <c r="C4" s="35"/>
      <c r="D4" s="36"/>
      <c r="E4" s="36"/>
      <c r="F4" s="37"/>
      <c r="G4" s="38" t="s">
        <v>29</v>
      </c>
      <c r="H4" s="39">
        <v>80.0</v>
      </c>
      <c r="I4" s="39">
        <v>72.0</v>
      </c>
      <c r="J4" s="40">
        <f t="shared" si="2"/>
        <v>0.1</v>
      </c>
      <c r="K4" s="41">
        <f t="shared" si="3"/>
        <v>1.230769231</v>
      </c>
      <c r="L4" s="42">
        <f t="shared" si="4"/>
        <v>0.01538461538</v>
      </c>
      <c r="M4" s="35"/>
      <c r="N4" s="37"/>
      <c r="S4" s="21">
        <v>0.625</v>
      </c>
      <c r="T4" s="22">
        <v>27.1</v>
      </c>
      <c r="U4" s="22">
        <v>34.0</v>
      </c>
      <c r="V4" s="22">
        <v>100.0</v>
      </c>
    </row>
    <row r="5">
      <c r="A5" s="34"/>
      <c r="B5" s="34"/>
      <c r="C5" s="35"/>
      <c r="D5" s="36"/>
      <c r="E5" s="36"/>
      <c r="F5" s="37"/>
      <c r="G5" s="38" t="s">
        <v>30</v>
      </c>
      <c r="H5" s="39">
        <v>92.0</v>
      </c>
      <c r="I5" s="39">
        <v>84.0</v>
      </c>
      <c r="J5" s="40">
        <f t="shared" si="2"/>
        <v>0.08695652174</v>
      </c>
      <c r="K5" s="41">
        <f t="shared" si="3"/>
        <v>1.230769231</v>
      </c>
      <c r="L5" s="42">
        <f t="shared" si="4"/>
        <v>0.01337792642</v>
      </c>
      <c r="M5" s="35"/>
      <c r="N5" s="37"/>
      <c r="S5" s="21">
        <v>0.6666666666666666</v>
      </c>
      <c r="T5" s="22">
        <v>27.9</v>
      </c>
      <c r="U5" s="22">
        <v>33.0</v>
      </c>
      <c r="V5" s="22">
        <v>30.0</v>
      </c>
    </row>
    <row r="6">
      <c r="A6" s="34"/>
      <c r="B6" s="34"/>
      <c r="C6" s="35"/>
      <c r="D6" s="36"/>
      <c r="E6" s="36"/>
      <c r="F6" s="37"/>
      <c r="G6" s="43" t="s">
        <v>31</v>
      </c>
      <c r="H6" s="44">
        <v>102.0</v>
      </c>
      <c r="I6" s="44">
        <v>96.0</v>
      </c>
      <c r="J6" s="45">
        <f t="shared" si="2"/>
        <v>0.05882352941</v>
      </c>
      <c r="K6" s="46">
        <f t="shared" si="3"/>
        <v>0.9230769231</v>
      </c>
      <c r="L6" s="47">
        <f t="shared" si="4"/>
        <v>0.009049773756</v>
      </c>
      <c r="M6" s="35"/>
      <c r="N6" s="37"/>
      <c r="S6" s="21">
        <v>0.7083333333333334</v>
      </c>
      <c r="T6" s="22">
        <v>27.6</v>
      </c>
      <c r="U6" s="22">
        <v>33.0</v>
      </c>
      <c r="V6" s="22">
        <v>48.0</v>
      </c>
    </row>
    <row r="7">
      <c r="A7" s="34"/>
      <c r="B7" s="34"/>
      <c r="C7" s="35"/>
      <c r="D7" s="36"/>
      <c r="E7" s="36"/>
      <c r="F7" s="37"/>
      <c r="G7" s="48" t="s">
        <v>32</v>
      </c>
      <c r="H7" s="49"/>
      <c r="I7" s="50"/>
      <c r="J7" s="51">
        <f t="shared" ref="J7:L7" si="5">AVERAGE(J3:J6)</f>
        <v>0.08730708175</v>
      </c>
      <c r="K7" s="52">
        <f t="shared" si="5"/>
        <v>1.307692308</v>
      </c>
      <c r="L7" s="53">
        <f t="shared" si="5"/>
        <v>0.01343185873</v>
      </c>
      <c r="M7" s="35"/>
      <c r="N7" s="37"/>
      <c r="S7" s="21">
        <v>0.75</v>
      </c>
      <c r="T7" s="22">
        <v>26.4</v>
      </c>
      <c r="U7" s="22">
        <v>40.0</v>
      </c>
      <c r="V7" s="22">
        <v>51.0</v>
      </c>
    </row>
    <row r="8">
      <c r="A8" s="34"/>
      <c r="B8" s="34"/>
      <c r="C8" s="35"/>
      <c r="D8" s="36"/>
      <c r="E8" s="36"/>
      <c r="F8" s="37"/>
      <c r="G8" s="54" t="s">
        <v>33</v>
      </c>
      <c r="H8" s="55">
        <v>114.0</v>
      </c>
      <c r="I8" s="55">
        <v>108.0</v>
      </c>
      <c r="J8" s="56">
        <f t="shared" ref="J8:J11" si="6">(H8-I8)/H8</f>
        <v>0.05263157895</v>
      </c>
      <c r="K8" s="57">
        <f t="shared" ref="K8:K11" si="7">(H8-I8)/(HOUR(F$3)+MINUTE(F$3)/60)</f>
        <v>0.9230769231</v>
      </c>
      <c r="L8" s="58">
        <f t="shared" ref="L8:L11" si="8">(H8-I8)/(H8*(HOUR(F$3)+MINUTE(F$3)/60))</f>
        <v>0.008097165992</v>
      </c>
      <c r="M8" s="35"/>
      <c r="N8" s="37"/>
      <c r="S8" s="21">
        <v>0.7916666666666666</v>
      </c>
      <c r="T8" s="22">
        <v>25.1</v>
      </c>
      <c r="U8" s="22">
        <v>45.0</v>
      </c>
      <c r="V8" s="22">
        <v>79.0</v>
      </c>
    </row>
    <row r="9">
      <c r="A9" s="34"/>
      <c r="B9" s="34"/>
      <c r="C9" s="35"/>
      <c r="D9" s="36"/>
      <c r="E9" s="36"/>
      <c r="F9" s="37"/>
      <c r="G9" s="38" t="s">
        <v>34</v>
      </c>
      <c r="H9" s="39">
        <v>114.0</v>
      </c>
      <c r="I9" s="39">
        <v>106.0</v>
      </c>
      <c r="J9" s="40">
        <f t="shared" si="6"/>
        <v>0.0701754386</v>
      </c>
      <c r="K9" s="41">
        <f t="shared" si="7"/>
        <v>1.230769231</v>
      </c>
      <c r="L9" s="42">
        <f t="shared" si="8"/>
        <v>0.01079622132</v>
      </c>
      <c r="M9" s="35"/>
      <c r="N9" s="37"/>
      <c r="S9" s="59" t="s">
        <v>35</v>
      </c>
      <c r="T9" s="60">
        <v>26.71428571</v>
      </c>
      <c r="U9" s="61">
        <v>36.28571429</v>
      </c>
      <c r="V9" s="62">
        <v>59.14285714</v>
      </c>
    </row>
    <row r="10">
      <c r="A10" s="34"/>
      <c r="B10" s="34"/>
      <c r="C10" s="35"/>
      <c r="D10" s="36"/>
      <c r="E10" s="36"/>
      <c r="F10" s="37"/>
      <c r="G10" s="38" t="s">
        <v>36</v>
      </c>
      <c r="H10" s="39">
        <v>98.0</v>
      </c>
      <c r="I10" s="39">
        <v>92.0</v>
      </c>
      <c r="J10" s="40">
        <f t="shared" si="6"/>
        <v>0.0612244898</v>
      </c>
      <c r="K10" s="41">
        <f t="shared" si="7"/>
        <v>0.9230769231</v>
      </c>
      <c r="L10" s="42">
        <f t="shared" si="8"/>
        <v>0.009419152276</v>
      </c>
      <c r="M10" s="35"/>
      <c r="N10" s="37"/>
      <c r="S10" s="63"/>
      <c r="T10" s="63"/>
      <c r="U10" s="63"/>
      <c r="V10" s="63"/>
    </row>
    <row r="11">
      <c r="A11" s="34"/>
      <c r="B11" s="34"/>
      <c r="C11" s="35"/>
      <c r="D11" s="36"/>
      <c r="E11" s="36"/>
      <c r="F11" s="37"/>
      <c r="G11" s="43" t="s">
        <v>37</v>
      </c>
      <c r="H11" s="44">
        <v>118.0</v>
      </c>
      <c r="I11" s="44">
        <v>110.0</v>
      </c>
      <c r="J11" s="45">
        <f t="shared" si="6"/>
        <v>0.06779661017</v>
      </c>
      <c r="K11" s="46">
        <f t="shared" si="7"/>
        <v>1.230769231</v>
      </c>
      <c r="L11" s="47">
        <f t="shared" si="8"/>
        <v>0.01043024772</v>
      </c>
      <c r="M11" s="35"/>
      <c r="N11" s="37"/>
      <c r="S11" s="63"/>
      <c r="T11" s="59" t="s">
        <v>38</v>
      </c>
      <c r="U11" s="59" t="s">
        <v>39</v>
      </c>
      <c r="V11" s="59" t="s">
        <v>40</v>
      </c>
    </row>
    <row r="12">
      <c r="A12" s="64"/>
      <c r="B12" s="64"/>
      <c r="C12" s="65"/>
      <c r="D12" s="66"/>
      <c r="E12" s="66"/>
      <c r="F12" s="67"/>
      <c r="G12" s="48" t="s">
        <v>41</v>
      </c>
      <c r="H12" s="49"/>
      <c r="I12" s="50"/>
      <c r="J12" s="51">
        <f t="shared" ref="J12:L12" si="9">AVERAGE(J8:J11)</f>
        <v>0.06295702938</v>
      </c>
      <c r="K12" s="52">
        <f t="shared" si="9"/>
        <v>1.076923077</v>
      </c>
      <c r="L12" s="53">
        <f t="shared" si="9"/>
        <v>0.009685696827</v>
      </c>
      <c r="M12" s="65"/>
      <c r="N12" s="67"/>
      <c r="S12" s="63"/>
      <c r="T12" s="22">
        <v>26.71428571</v>
      </c>
      <c r="U12" s="22">
        <v>36.28571429</v>
      </c>
      <c r="V12" s="22">
        <v>59.14285714</v>
      </c>
    </row>
    <row r="13">
      <c r="A13" s="23">
        <v>4.0</v>
      </c>
      <c r="B13" s="23" t="s">
        <v>42</v>
      </c>
      <c r="C13" s="68">
        <v>46175.0</v>
      </c>
      <c r="D13" s="69">
        <v>46175.958333333336</v>
      </c>
      <c r="E13" s="69">
        <v>46176.416666666664</v>
      </c>
      <c r="F13" s="70">
        <f t="shared" ref="F13:F16" si="10">E13-D13</f>
        <v>0.4583333333</v>
      </c>
      <c r="G13" s="71" t="s">
        <v>21</v>
      </c>
      <c r="H13" s="72">
        <v>520.0</v>
      </c>
      <c r="I13" s="72">
        <v>494.0</v>
      </c>
      <c r="J13" s="51">
        <f t="shared" ref="J13:J17" si="11">(H13-I13)/H13</f>
        <v>0.05</v>
      </c>
      <c r="K13" s="52">
        <f t="shared" ref="K13:K16" si="12">(H13-I13)/(HOUR(F13)+MINUTE(F13)/60)</f>
        <v>2.363636364</v>
      </c>
      <c r="L13" s="53">
        <f t="shared" ref="L13:L16" si="13">(H13-I13)/(H13*(HOUR(F13)+MINUTE(F13)/60))</f>
        <v>0.004545454545</v>
      </c>
      <c r="M13" s="73" t="s">
        <v>22</v>
      </c>
      <c r="N13" s="74" t="s">
        <v>43</v>
      </c>
      <c r="O13" s="20"/>
    </row>
    <row r="14">
      <c r="A14" s="34"/>
      <c r="B14" s="34"/>
      <c r="C14" s="68">
        <v>46177.0</v>
      </c>
      <c r="D14" s="69">
        <v>46177.979166666664</v>
      </c>
      <c r="E14" s="69">
        <v>46178.416666666664</v>
      </c>
      <c r="F14" s="70">
        <f t="shared" si="10"/>
        <v>0.4375</v>
      </c>
      <c r="G14" s="71" t="s">
        <v>21</v>
      </c>
      <c r="H14" s="72">
        <v>520.0</v>
      </c>
      <c r="I14" s="72">
        <v>515.1</v>
      </c>
      <c r="J14" s="51">
        <f t="shared" si="11"/>
        <v>0.009423076923</v>
      </c>
      <c r="K14" s="52">
        <f t="shared" si="12"/>
        <v>0.4666666667</v>
      </c>
      <c r="L14" s="53">
        <f t="shared" si="13"/>
        <v>0.0008974358974</v>
      </c>
      <c r="M14" s="73" t="s">
        <v>22</v>
      </c>
      <c r="N14" s="74" t="s">
        <v>44</v>
      </c>
      <c r="O14" s="20"/>
    </row>
    <row r="15">
      <c r="A15" s="64"/>
      <c r="B15" s="64"/>
      <c r="C15" s="68">
        <v>46178.0</v>
      </c>
      <c r="D15" s="69">
        <v>46178.958333333336</v>
      </c>
      <c r="E15" s="69">
        <v>46179.479166666664</v>
      </c>
      <c r="F15" s="70">
        <f t="shared" si="10"/>
        <v>0.5208333333</v>
      </c>
      <c r="G15" s="71" t="s">
        <v>21</v>
      </c>
      <c r="H15" s="72">
        <v>531.0</v>
      </c>
      <c r="I15" s="72">
        <v>663.0</v>
      </c>
      <c r="J15" s="51">
        <f t="shared" si="11"/>
        <v>-0.2485875706</v>
      </c>
      <c r="K15" s="52">
        <f t="shared" si="12"/>
        <v>-10.56</v>
      </c>
      <c r="L15" s="53">
        <f t="shared" si="13"/>
        <v>-0.01988700565</v>
      </c>
      <c r="M15" s="73" t="s">
        <v>22</v>
      </c>
      <c r="N15" s="74" t="s">
        <v>45</v>
      </c>
      <c r="O15" s="20"/>
    </row>
    <row r="16">
      <c r="A16" s="23">
        <v>3.0</v>
      </c>
      <c r="B16" s="23" t="s">
        <v>46</v>
      </c>
      <c r="C16" s="75">
        <v>46181.0</v>
      </c>
      <c r="D16" s="76">
        <v>46181.791666666664</v>
      </c>
      <c r="E16" s="76">
        <v>46181.958333333336</v>
      </c>
      <c r="F16" s="77">
        <f t="shared" si="10"/>
        <v>0.1666666667</v>
      </c>
      <c r="G16" s="71" t="s">
        <v>47</v>
      </c>
      <c r="H16" s="72">
        <v>300.0</v>
      </c>
      <c r="I16" s="72">
        <v>297.5</v>
      </c>
      <c r="J16" s="51">
        <f t="shared" si="11"/>
        <v>0.008333333333</v>
      </c>
      <c r="K16" s="52">
        <f t="shared" si="12"/>
        <v>0.625</v>
      </c>
      <c r="L16" s="78">
        <f t="shared" si="13"/>
        <v>0.002083333333</v>
      </c>
      <c r="M16" s="79" t="s">
        <v>22</v>
      </c>
      <c r="N16" s="80" t="s">
        <v>48</v>
      </c>
    </row>
    <row r="17">
      <c r="A17" s="64"/>
      <c r="B17" s="64"/>
      <c r="C17" s="65"/>
      <c r="D17" s="66"/>
      <c r="E17" s="66"/>
      <c r="F17" s="67"/>
      <c r="G17" s="81" t="s">
        <v>49</v>
      </c>
      <c r="H17" s="82">
        <v>300.0</v>
      </c>
      <c r="I17" s="82">
        <v>305.8</v>
      </c>
      <c r="J17" s="83">
        <f t="shared" si="11"/>
        <v>-0.01933333333</v>
      </c>
      <c r="K17" s="84">
        <f>(H17-I17)/(HOUR(F16)+MINUTE(F16)/60)</f>
        <v>-1.45</v>
      </c>
      <c r="L17" s="78">
        <f>(H17-I17)/(H16*(HOUR(F16)+MINUTE(F16)/60))</f>
        <v>-0.004833333333</v>
      </c>
      <c r="M17" s="65"/>
      <c r="N17" s="67"/>
    </row>
    <row r="18">
      <c r="D18" s="85"/>
      <c r="E18" s="85"/>
      <c r="J18" s="86"/>
      <c r="K18" s="87"/>
      <c r="N18" s="3"/>
    </row>
    <row r="19">
      <c r="D19" s="85"/>
      <c r="E19" s="85"/>
      <c r="J19" s="86"/>
      <c r="K19" s="87"/>
      <c r="N19" s="3"/>
    </row>
    <row r="20">
      <c r="D20" s="85"/>
      <c r="E20" s="85"/>
      <c r="J20" s="86"/>
      <c r="K20" s="87"/>
      <c r="N20" s="3"/>
    </row>
    <row r="21">
      <c r="D21" s="85"/>
      <c r="E21" s="85"/>
      <c r="J21" s="86"/>
      <c r="K21" s="87"/>
      <c r="N21" s="3"/>
    </row>
    <row r="22">
      <c r="D22" s="85"/>
      <c r="E22" s="85"/>
      <c r="J22" s="86"/>
      <c r="K22" s="87"/>
      <c r="N22" s="3"/>
    </row>
    <row r="23">
      <c r="D23" s="85"/>
      <c r="E23" s="85"/>
      <c r="J23" s="86"/>
      <c r="K23" s="87"/>
      <c r="N23" s="3"/>
    </row>
    <row r="24">
      <c r="D24" s="85"/>
      <c r="E24" s="85"/>
      <c r="J24" s="86"/>
      <c r="K24" s="87"/>
      <c r="N24" s="3"/>
    </row>
    <row r="25">
      <c r="D25" s="85"/>
      <c r="E25" s="85"/>
      <c r="J25" s="86"/>
      <c r="K25" s="87"/>
      <c r="N25" s="3"/>
    </row>
    <row r="26">
      <c r="D26" s="85"/>
      <c r="E26" s="85"/>
      <c r="J26" s="86"/>
      <c r="K26" s="87"/>
      <c r="N26" s="3"/>
    </row>
    <row r="27">
      <c r="D27" s="85"/>
      <c r="E27" s="85"/>
      <c r="J27" s="86"/>
      <c r="K27" s="87"/>
      <c r="N27" s="3"/>
    </row>
    <row r="28">
      <c r="D28" s="85"/>
      <c r="E28" s="85"/>
      <c r="J28" s="86"/>
      <c r="K28" s="87"/>
      <c r="N28" s="3"/>
    </row>
    <row r="29">
      <c r="D29" s="85"/>
      <c r="E29" s="85"/>
      <c r="J29" s="86"/>
      <c r="K29" s="87"/>
      <c r="N29" s="3"/>
    </row>
    <row r="30">
      <c r="D30" s="85"/>
      <c r="E30" s="85"/>
      <c r="J30" s="86"/>
      <c r="K30" s="87"/>
      <c r="N30" s="3"/>
    </row>
    <row r="31">
      <c r="D31" s="85"/>
      <c r="E31" s="85"/>
      <c r="J31" s="86"/>
      <c r="K31" s="87"/>
      <c r="N31" s="3"/>
    </row>
    <row r="32">
      <c r="D32" s="85"/>
      <c r="E32" s="85"/>
      <c r="J32" s="86"/>
      <c r="K32" s="87"/>
      <c r="N32" s="3"/>
    </row>
    <row r="33">
      <c r="D33" s="85"/>
      <c r="E33" s="85"/>
      <c r="J33" s="86"/>
      <c r="K33" s="87"/>
      <c r="N33" s="3"/>
    </row>
    <row r="34">
      <c r="D34" s="85"/>
      <c r="E34" s="85"/>
      <c r="J34" s="86"/>
      <c r="K34" s="87"/>
      <c r="N34" s="3"/>
    </row>
    <row r="35">
      <c r="D35" s="85"/>
      <c r="E35" s="85"/>
      <c r="J35" s="86"/>
      <c r="K35" s="87"/>
      <c r="N35" s="3"/>
    </row>
    <row r="36">
      <c r="D36" s="85"/>
      <c r="E36" s="85"/>
      <c r="J36" s="86"/>
      <c r="K36" s="87"/>
      <c r="N36" s="3"/>
    </row>
    <row r="37">
      <c r="D37" s="85"/>
      <c r="E37" s="85"/>
      <c r="J37" s="86"/>
      <c r="K37" s="87"/>
      <c r="N37" s="3"/>
    </row>
    <row r="38">
      <c r="D38" s="85"/>
      <c r="E38" s="85"/>
      <c r="J38" s="86"/>
      <c r="K38" s="87"/>
      <c r="N38" s="3"/>
    </row>
    <row r="39">
      <c r="D39" s="85"/>
      <c r="E39" s="85"/>
      <c r="J39" s="86"/>
      <c r="K39" s="87"/>
      <c r="N39" s="3"/>
    </row>
    <row r="40">
      <c r="D40" s="85"/>
      <c r="E40" s="85"/>
      <c r="J40" s="86"/>
      <c r="K40" s="87"/>
      <c r="N40" s="3"/>
    </row>
    <row r="41">
      <c r="D41" s="85"/>
      <c r="E41" s="85"/>
      <c r="J41" s="86"/>
      <c r="K41" s="87"/>
      <c r="N41" s="3"/>
    </row>
    <row r="42">
      <c r="D42" s="85"/>
      <c r="E42" s="85"/>
      <c r="J42" s="86"/>
      <c r="K42" s="87"/>
      <c r="N42" s="3"/>
    </row>
    <row r="43">
      <c r="D43" s="85"/>
      <c r="E43" s="85"/>
      <c r="J43" s="86"/>
      <c r="K43" s="87"/>
      <c r="N43" s="3"/>
    </row>
    <row r="44">
      <c r="D44" s="85"/>
      <c r="E44" s="85"/>
      <c r="J44" s="86"/>
      <c r="K44" s="87"/>
      <c r="N44" s="3"/>
    </row>
    <row r="45">
      <c r="D45" s="85"/>
      <c r="E45" s="85"/>
      <c r="J45" s="86"/>
      <c r="K45" s="87"/>
      <c r="N45" s="3"/>
    </row>
    <row r="46">
      <c r="D46" s="85"/>
      <c r="E46" s="85"/>
      <c r="J46" s="86"/>
      <c r="K46" s="87"/>
      <c r="N46" s="3"/>
    </row>
    <row r="47">
      <c r="D47" s="85"/>
      <c r="E47" s="85"/>
      <c r="J47" s="86"/>
      <c r="K47" s="87"/>
      <c r="N47" s="3"/>
    </row>
    <row r="48">
      <c r="D48" s="85"/>
      <c r="E48" s="85"/>
      <c r="J48" s="86"/>
      <c r="K48" s="87"/>
      <c r="N48" s="3"/>
    </row>
    <row r="49">
      <c r="D49" s="85"/>
      <c r="E49" s="85"/>
      <c r="J49" s="86"/>
      <c r="K49" s="87"/>
      <c r="N49" s="3"/>
    </row>
    <row r="50">
      <c r="D50" s="85"/>
      <c r="E50" s="85"/>
      <c r="J50" s="86"/>
      <c r="K50" s="87"/>
      <c r="N50" s="3"/>
    </row>
    <row r="51">
      <c r="D51" s="85"/>
      <c r="E51" s="85"/>
      <c r="J51" s="86"/>
      <c r="K51" s="87"/>
      <c r="N51" s="3"/>
    </row>
    <row r="52">
      <c r="D52" s="85"/>
      <c r="E52" s="85"/>
      <c r="J52" s="86"/>
      <c r="K52" s="87"/>
      <c r="N52" s="3"/>
    </row>
    <row r="53">
      <c r="D53" s="85"/>
      <c r="E53" s="85"/>
      <c r="J53" s="86"/>
      <c r="K53" s="87"/>
      <c r="N53" s="3"/>
    </row>
    <row r="54">
      <c r="D54" s="85"/>
      <c r="E54" s="85"/>
      <c r="J54" s="86"/>
      <c r="K54" s="87"/>
      <c r="N54" s="3"/>
    </row>
    <row r="55">
      <c r="D55" s="85"/>
      <c r="E55" s="85"/>
      <c r="J55" s="86"/>
      <c r="K55" s="87"/>
      <c r="N55" s="3"/>
    </row>
    <row r="56">
      <c r="D56" s="85"/>
      <c r="E56" s="85"/>
      <c r="J56" s="86"/>
      <c r="K56" s="87"/>
      <c r="N56" s="3"/>
    </row>
    <row r="57">
      <c r="D57" s="85"/>
      <c r="E57" s="85"/>
      <c r="J57" s="86"/>
      <c r="K57" s="87"/>
      <c r="N57" s="3"/>
    </row>
    <row r="58">
      <c r="D58" s="85"/>
      <c r="E58" s="85"/>
      <c r="J58" s="86"/>
      <c r="K58" s="87"/>
      <c r="N58" s="3"/>
    </row>
    <row r="59">
      <c r="D59" s="85"/>
      <c r="E59" s="85"/>
      <c r="J59" s="86"/>
      <c r="K59" s="87"/>
      <c r="N59" s="3"/>
    </row>
    <row r="60">
      <c r="D60" s="85"/>
      <c r="E60" s="85"/>
      <c r="J60" s="86"/>
      <c r="K60" s="87"/>
      <c r="N60" s="3"/>
    </row>
    <row r="61">
      <c r="D61" s="85"/>
      <c r="E61" s="85"/>
      <c r="J61" s="86"/>
      <c r="K61" s="87"/>
      <c r="N61" s="3"/>
    </row>
    <row r="62">
      <c r="D62" s="85"/>
      <c r="E62" s="85"/>
      <c r="J62" s="86"/>
      <c r="K62" s="87"/>
      <c r="N62" s="3"/>
    </row>
    <row r="63">
      <c r="D63" s="85"/>
      <c r="E63" s="85"/>
      <c r="J63" s="86"/>
      <c r="K63" s="87"/>
      <c r="N63" s="3"/>
    </row>
    <row r="64">
      <c r="D64" s="85"/>
      <c r="E64" s="85"/>
      <c r="J64" s="86"/>
      <c r="K64" s="87"/>
      <c r="N64" s="3"/>
    </row>
    <row r="65">
      <c r="D65" s="85"/>
      <c r="E65" s="85"/>
      <c r="J65" s="86"/>
      <c r="K65" s="87"/>
      <c r="N65" s="3"/>
    </row>
    <row r="66">
      <c r="D66" s="85"/>
      <c r="E66" s="85"/>
      <c r="J66" s="86"/>
      <c r="K66" s="87"/>
      <c r="N66" s="3"/>
    </row>
    <row r="67">
      <c r="D67" s="85"/>
      <c r="E67" s="85"/>
      <c r="J67" s="86"/>
      <c r="K67" s="87"/>
      <c r="N67" s="3"/>
    </row>
    <row r="68">
      <c r="D68" s="85"/>
      <c r="E68" s="85"/>
      <c r="J68" s="86"/>
      <c r="K68" s="87"/>
      <c r="N68" s="3"/>
    </row>
    <row r="69">
      <c r="D69" s="85"/>
      <c r="E69" s="85"/>
      <c r="J69" s="86"/>
      <c r="K69" s="87"/>
      <c r="N69" s="3"/>
    </row>
    <row r="70">
      <c r="D70" s="85"/>
      <c r="E70" s="85"/>
      <c r="J70" s="86"/>
      <c r="K70" s="87"/>
      <c r="N70" s="3"/>
    </row>
    <row r="71">
      <c r="D71" s="85"/>
      <c r="E71" s="85"/>
      <c r="J71" s="86"/>
      <c r="K71" s="87"/>
      <c r="N71" s="3"/>
    </row>
    <row r="72">
      <c r="D72" s="85"/>
      <c r="E72" s="85"/>
      <c r="J72" s="86"/>
      <c r="K72" s="87"/>
      <c r="N72" s="3"/>
    </row>
    <row r="73">
      <c r="D73" s="85"/>
      <c r="E73" s="85"/>
      <c r="J73" s="86"/>
      <c r="K73" s="87"/>
      <c r="N73" s="3"/>
    </row>
    <row r="74">
      <c r="D74" s="85"/>
      <c r="E74" s="85"/>
      <c r="J74" s="86"/>
      <c r="K74" s="87"/>
      <c r="N74" s="3"/>
    </row>
    <row r="75">
      <c r="D75" s="85"/>
      <c r="E75" s="85"/>
      <c r="J75" s="86"/>
      <c r="K75" s="87"/>
      <c r="N75" s="3"/>
    </row>
    <row r="76">
      <c r="D76" s="85"/>
      <c r="E76" s="85"/>
      <c r="J76" s="86"/>
      <c r="K76" s="87"/>
      <c r="N76" s="3"/>
    </row>
    <row r="77">
      <c r="D77" s="85"/>
      <c r="E77" s="85"/>
      <c r="J77" s="86"/>
      <c r="K77" s="87"/>
      <c r="N77" s="3"/>
    </row>
    <row r="78">
      <c r="D78" s="85"/>
      <c r="E78" s="85"/>
      <c r="J78" s="86"/>
      <c r="K78" s="87"/>
      <c r="N78" s="3"/>
    </row>
    <row r="79">
      <c r="D79" s="85"/>
      <c r="E79" s="85"/>
      <c r="J79" s="86"/>
      <c r="K79" s="87"/>
      <c r="N79" s="3"/>
    </row>
    <row r="80">
      <c r="D80" s="85"/>
      <c r="E80" s="85"/>
      <c r="J80" s="86"/>
      <c r="K80" s="87"/>
      <c r="N80" s="3"/>
    </row>
    <row r="81">
      <c r="D81" s="85"/>
      <c r="E81" s="85"/>
      <c r="J81" s="86"/>
      <c r="K81" s="87"/>
      <c r="N81" s="3"/>
    </row>
    <row r="82">
      <c r="D82" s="85"/>
      <c r="E82" s="85"/>
      <c r="J82" s="86"/>
      <c r="K82" s="87"/>
      <c r="N82" s="3"/>
    </row>
    <row r="83">
      <c r="D83" s="85"/>
      <c r="E83" s="85"/>
      <c r="J83" s="86"/>
      <c r="K83" s="87"/>
      <c r="N83" s="3"/>
    </row>
    <row r="84">
      <c r="D84" s="85"/>
      <c r="E84" s="85"/>
      <c r="J84" s="86"/>
      <c r="K84" s="87"/>
      <c r="N84" s="3"/>
    </row>
    <row r="85">
      <c r="D85" s="85"/>
      <c r="E85" s="85"/>
      <c r="J85" s="86"/>
      <c r="K85" s="87"/>
      <c r="N85" s="3"/>
    </row>
    <row r="86">
      <c r="D86" s="85"/>
      <c r="E86" s="85"/>
      <c r="J86" s="86"/>
      <c r="K86" s="87"/>
      <c r="N86" s="3"/>
    </row>
    <row r="87">
      <c r="D87" s="85"/>
      <c r="E87" s="85"/>
      <c r="J87" s="86"/>
      <c r="K87" s="87"/>
      <c r="N87" s="3"/>
    </row>
    <row r="88">
      <c r="D88" s="85"/>
      <c r="E88" s="85"/>
      <c r="J88" s="86"/>
      <c r="K88" s="87"/>
      <c r="N88" s="3"/>
    </row>
    <row r="89">
      <c r="D89" s="85"/>
      <c r="E89" s="85"/>
      <c r="J89" s="86"/>
      <c r="K89" s="87"/>
      <c r="N89" s="3"/>
    </row>
    <row r="90">
      <c r="D90" s="85"/>
      <c r="E90" s="85"/>
      <c r="J90" s="86"/>
      <c r="K90" s="87"/>
      <c r="N90" s="3"/>
    </row>
    <row r="91">
      <c r="D91" s="85"/>
      <c r="E91" s="85"/>
      <c r="J91" s="86"/>
      <c r="K91" s="87"/>
      <c r="N91" s="3"/>
    </row>
    <row r="92">
      <c r="D92" s="85"/>
      <c r="E92" s="85"/>
      <c r="J92" s="86"/>
      <c r="K92" s="87"/>
      <c r="N92" s="3"/>
    </row>
    <row r="93">
      <c r="D93" s="85"/>
      <c r="E93" s="85"/>
      <c r="J93" s="86"/>
      <c r="K93" s="87"/>
      <c r="N93" s="3"/>
    </row>
    <row r="94">
      <c r="D94" s="85"/>
      <c r="E94" s="85"/>
      <c r="J94" s="86"/>
      <c r="K94" s="87"/>
      <c r="N94" s="3"/>
    </row>
    <row r="95">
      <c r="D95" s="85"/>
      <c r="E95" s="85"/>
      <c r="J95" s="86"/>
      <c r="K95" s="87"/>
      <c r="N95" s="3"/>
    </row>
    <row r="96">
      <c r="D96" s="85"/>
      <c r="E96" s="85"/>
      <c r="J96" s="86"/>
      <c r="K96" s="87"/>
      <c r="N96" s="3"/>
    </row>
    <row r="97">
      <c r="D97" s="85"/>
      <c r="E97" s="85"/>
      <c r="J97" s="86"/>
      <c r="K97" s="87"/>
      <c r="N97" s="3"/>
    </row>
    <row r="98">
      <c r="D98" s="85"/>
      <c r="E98" s="85"/>
      <c r="J98" s="86"/>
      <c r="K98" s="87"/>
      <c r="N98" s="3"/>
    </row>
    <row r="99">
      <c r="D99" s="85"/>
      <c r="E99" s="85"/>
      <c r="J99" s="86"/>
      <c r="K99" s="87"/>
      <c r="N99" s="3"/>
    </row>
    <row r="100">
      <c r="D100" s="85"/>
      <c r="E100" s="85"/>
      <c r="J100" s="86"/>
      <c r="K100" s="87"/>
      <c r="N100" s="3"/>
    </row>
    <row r="101">
      <c r="D101" s="85"/>
      <c r="E101" s="85"/>
      <c r="J101" s="86"/>
      <c r="K101" s="87"/>
      <c r="N101" s="3"/>
    </row>
    <row r="102">
      <c r="D102" s="85"/>
      <c r="E102" s="85"/>
      <c r="J102" s="86"/>
      <c r="K102" s="87"/>
      <c r="N102" s="3"/>
    </row>
    <row r="103">
      <c r="D103" s="85"/>
      <c r="E103" s="85"/>
      <c r="J103" s="86"/>
      <c r="K103" s="87"/>
      <c r="N103" s="3"/>
    </row>
    <row r="104">
      <c r="D104" s="85"/>
      <c r="E104" s="85"/>
      <c r="J104" s="86"/>
      <c r="K104" s="87"/>
      <c r="N104" s="3"/>
    </row>
    <row r="105">
      <c r="D105" s="85"/>
      <c r="E105" s="85"/>
      <c r="J105" s="86"/>
      <c r="K105" s="87"/>
      <c r="N105" s="3"/>
    </row>
    <row r="106">
      <c r="D106" s="85"/>
      <c r="E106" s="85"/>
      <c r="J106" s="86"/>
      <c r="K106" s="87"/>
      <c r="N106" s="3"/>
    </row>
    <row r="107">
      <c r="D107" s="85"/>
      <c r="E107" s="85"/>
      <c r="J107" s="86"/>
      <c r="K107" s="87"/>
      <c r="N107" s="3"/>
    </row>
    <row r="108">
      <c r="D108" s="85"/>
      <c r="E108" s="85"/>
      <c r="J108" s="86"/>
      <c r="K108" s="87"/>
      <c r="N108" s="3"/>
    </row>
    <row r="109">
      <c r="D109" s="85"/>
      <c r="E109" s="85"/>
      <c r="J109" s="86"/>
      <c r="K109" s="87"/>
      <c r="N109" s="3"/>
    </row>
    <row r="110">
      <c r="D110" s="85"/>
      <c r="E110" s="85"/>
      <c r="J110" s="86"/>
      <c r="K110" s="87"/>
      <c r="N110" s="3"/>
    </row>
    <row r="111">
      <c r="D111" s="85"/>
      <c r="E111" s="85"/>
      <c r="J111" s="86"/>
      <c r="K111" s="87"/>
      <c r="N111" s="3"/>
    </row>
    <row r="112">
      <c r="D112" s="85"/>
      <c r="E112" s="85"/>
      <c r="J112" s="86"/>
      <c r="K112" s="87"/>
      <c r="N112" s="3"/>
    </row>
    <row r="113">
      <c r="D113" s="85"/>
      <c r="E113" s="85"/>
      <c r="J113" s="86"/>
      <c r="K113" s="87"/>
      <c r="N113" s="3"/>
    </row>
    <row r="114">
      <c r="D114" s="85"/>
      <c r="E114" s="85"/>
      <c r="J114" s="86"/>
      <c r="K114" s="87"/>
      <c r="N114" s="3"/>
    </row>
    <row r="115">
      <c r="D115" s="85"/>
      <c r="E115" s="85"/>
      <c r="J115" s="86"/>
      <c r="K115" s="87"/>
      <c r="N115" s="3"/>
    </row>
    <row r="116">
      <c r="D116" s="85"/>
      <c r="E116" s="85"/>
      <c r="J116" s="86"/>
      <c r="K116" s="87"/>
      <c r="N116" s="3"/>
    </row>
    <row r="117">
      <c r="D117" s="85"/>
      <c r="E117" s="85"/>
      <c r="J117" s="86"/>
      <c r="K117" s="87"/>
      <c r="N117" s="3"/>
    </row>
    <row r="118">
      <c r="D118" s="85"/>
      <c r="E118" s="85"/>
      <c r="J118" s="86"/>
      <c r="K118" s="87"/>
      <c r="N118" s="3"/>
    </row>
    <row r="119">
      <c r="D119" s="85"/>
      <c r="E119" s="85"/>
      <c r="J119" s="86"/>
      <c r="K119" s="87"/>
      <c r="N119" s="3"/>
    </row>
    <row r="120">
      <c r="D120" s="85"/>
      <c r="E120" s="85"/>
      <c r="J120" s="86"/>
      <c r="K120" s="87"/>
      <c r="N120" s="3"/>
    </row>
    <row r="121">
      <c r="D121" s="85"/>
      <c r="E121" s="85"/>
      <c r="J121" s="86"/>
      <c r="K121" s="87"/>
      <c r="N121" s="3"/>
    </row>
    <row r="122">
      <c r="D122" s="85"/>
      <c r="E122" s="85"/>
      <c r="J122" s="86"/>
      <c r="K122" s="87"/>
      <c r="N122" s="3"/>
    </row>
    <row r="123">
      <c r="D123" s="85"/>
      <c r="E123" s="85"/>
      <c r="J123" s="86"/>
      <c r="K123" s="87"/>
      <c r="N123" s="3"/>
    </row>
    <row r="124">
      <c r="D124" s="85"/>
      <c r="E124" s="85"/>
      <c r="J124" s="86"/>
      <c r="K124" s="87"/>
      <c r="N124" s="3"/>
    </row>
    <row r="125">
      <c r="D125" s="85"/>
      <c r="E125" s="85"/>
      <c r="J125" s="86"/>
      <c r="K125" s="87"/>
      <c r="N125" s="3"/>
    </row>
    <row r="126">
      <c r="D126" s="85"/>
      <c r="E126" s="85"/>
      <c r="J126" s="86"/>
      <c r="K126" s="87"/>
      <c r="N126" s="3"/>
    </row>
    <row r="127">
      <c r="D127" s="85"/>
      <c r="E127" s="85"/>
      <c r="J127" s="86"/>
      <c r="K127" s="87"/>
      <c r="N127" s="3"/>
    </row>
    <row r="128">
      <c r="D128" s="85"/>
      <c r="E128" s="85"/>
      <c r="J128" s="86"/>
      <c r="K128" s="87"/>
      <c r="N128" s="3"/>
    </row>
    <row r="129">
      <c r="D129" s="85"/>
      <c r="E129" s="85"/>
      <c r="J129" s="86"/>
      <c r="K129" s="87"/>
      <c r="N129" s="3"/>
    </row>
    <row r="130">
      <c r="D130" s="85"/>
      <c r="E130" s="85"/>
      <c r="J130" s="86"/>
      <c r="K130" s="87"/>
      <c r="N130" s="3"/>
    </row>
    <row r="131">
      <c r="D131" s="85"/>
      <c r="E131" s="85"/>
      <c r="J131" s="86"/>
      <c r="K131" s="87"/>
      <c r="N131" s="3"/>
    </row>
    <row r="132">
      <c r="D132" s="85"/>
      <c r="E132" s="85"/>
      <c r="J132" s="86"/>
      <c r="K132" s="87"/>
      <c r="N132" s="3"/>
    </row>
    <row r="133">
      <c r="D133" s="85"/>
      <c r="E133" s="85"/>
      <c r="J133" s="86"/>
      <c r="K133" s="87"/>
      <c r="N133" s="3"/>
    </row>
    <row r="134">
      <c r="D134" s="85"/>
      <c r="E134" s="85"/>
      <c r="J134" s="86"/>
      <c r="K134" s="87"/>
      <c r="N134" s="3"/>
    </row>
    <row r="135">
      <c r="D135" s="85"/>
      <c r="E135" s="85"/>
      <c r="J135" s="86"/>
      <c r="K135" s="87"/>
      <c r="N135" s="3"/>
    </row>
    <row r="136">
      <c r="D136" s="85"/>
      <c r="E136" s="85"/>
      <c r="J136" s="86"/>
      <c r="K136" s="87"/>
      <c r="N136" s="3"/>
    </row>
    <row r="137">
      <c r="D137" s="85"/>
      <c r="E137" s="85"/>
      <c r="J137" s="86"/>
      <c r="K137" s="87"/>
      <c r="N137" s="3"/>
    </row>
    <row r="138">
      <c r="D138" s="85"/>
      <c r="E138" s="85"/>
      <c r="J138" s="86"/>
      <c r="K138" s="87"/>
      <c r="N138" s="3"/>
    </row>
    <row r="139">
      <c r="D139" s="85"/>
      <c r="E139" s="85"/>
      <c r="J139" s="86"/>
      <c r="K139" s="87"/>
      <c r="N139" s="3"/>
    </row>
    <row r="140">
      <c r="D140" s="85"/>
      <c r="E140" s="85"/>
      <c r="J140" s="86"/>
      <c r="K140" s="87"/>
      <c r="N140" s="3"/>
    </row>
    <row r="141">
      <c r="D141" s="85"/>
      <c r="E141" s="85"/>
      <c r="J141" s="86"/>
      <c r="K141" s="87"/>
      <c r="N141" s="3"/>
    </row>
    <row r="142">
      <c r="D142" s="85"/>
      <c r="E142" s="85"/>
      <c r="J142" s="86"/>
      <c r="K142" s="87"/>
      <c r="N142" s="3"/>
    </row>
    <row r="143">
      <c r="D143" s="85"/>
      <c r="E143" s="85"/>
      <c r="J143" s="86"/>
      <c r="K143" s="87"/>
      <c r="N143" s="3"/>
    </row>
    <row r="144">
      <c r="D144" s="85"/>
      <c r="E144" s="85"/>
      <c r="J144" s="86"/>
      <c r="K144" s="87"/>
      <c r="N144" s="3"/>
    </row>
    <row r="145">
      <c r="D145" s="85"/>
      <c r="E145" s="85"/>
      <c r="J145" s="86"/>
      <c r="K145" s="87"/>
      <c r="N145" s="3"/>
    </row>
    <row r="146">
      <c r="D146" s="85"/>
      <c r="E146" s="85"/>
      <c r="J146" s="86"/>
      <c r="K146" s="87"/>
      <c r="N146" s="3"/>
    </row>
    <row r="147">
      <c r="D147" s="85"/>
      <c r="E147" s="85"/>
      <c r="J147" s="86"/>
      <c r="K147" s="87"/>
      <c r="N147" s="3"/>
    </row>
    <row r="148">
      <c r="D148" s="85"/>
      <c r="E148" s="85"/>
      <c r="J148" s="86"/>
      <c r="K148" s="87"/>
      <c r="N148" s="3"/>
    </row>
    <row r="149">
      <c r="D149" s="85"/>
      <c r="E149" s="85"/>
      <c r="J149" s="86"/>
      <c r="K149" s="87"/>
      <c r="N149" s="3"/>
    </row>
    <row r="150">
      <c r="D150" s="85"/>
      <c r="E150" s="85"/>
      <c r="J150" s="86"/>
      <c r="K150" s="87"/>
      <c r="N150" s="3"/>
    </row>
    <row r="151">
      <c r="D151" s="85"/>
      <c r="E151" s="85"/>
      <c r="J151" s="86"/>
      <c r="K151" s="87"/>
      <c r="N151" s="3"/>
    </row>
    <row r="152">
      <c r="D152" s="85"/>
      <c r="E152" s="85"/>
      <c r="J152" s="86"/>
      <c r="K152" s="87"/>
      <c r="N152" s="3"/>
    </row>
    <row r="153">
      <c r="D153" s="85"/>
      <c r="E153" s="85"/>
      <c r="J153" s="86"/>
      <c r="K153" s="87"/>
      <c r="N153" s="3"/>
    </row>
    <row r="154">
      <c r="D154" s="85"/>
      <c r="E154" s="85"/>
      <c r="J154" s="86"/>
      <c r="K154" s="87"/>
      <c r="N154" s="3"/>
    </row>
    <row r="155">
      <c r="D155" s="85"/>
      <c r="E155" s="85"/>
      <c r="J155" s="86"/>
      <c r="K155" s="87"/>
      <c r="N155" s="3"/>
    </row>
    <row r="156">
      <c r="D156" s="85"/>
      <c r="E156" s="85"/>
      <c r="J156" s="86"/>
      <c r="K156" s="87"/>
      <c r="N156" s="3"/>
    </row>
    <row r="157">
      <c r="D157" s="85"/>
      <c r="E157" s="85"/>
      <c r="J157" s="86"/>
      <c r="K157" s="87"/>
      <c r="N157" s="3"/>
    </row>
    <row r="158">
      <c r="D158" s="85"/>
      <c r="E158" s="85"/>
      <c r="J158" s="86"/>
      <c r="K158" s="87"/>
      <c r="N158" s="3"/>
    </row>
    <row r="159">
      <c r="D159" s="85"/>
      <c r="E159" s="85"/>
      <c r="J159" s="86"/>
      <c r="K159" s="87"/>
      <c r="N159" s="3"/>
    </row>
    <row r="160">
      <c r="D160" s="85"/>
      <c r="E160" s="85"/>
      <c r="J160" s="86"/>
      <c r="K160" s="87"/>
      <c r="N160" s="3"/>
    </row>
    <row r="161">
      <c r="D161" s="85"/>
      <c r="E161" s="85"/>
      <c r="J161" s="86"/>
      <c r="K161" s="87"/>
      <c r="N161" s="3"/>
    </row>
    <row r="162">
      <c r="D162" s="85"/>
      <c r="E162" s="85"/>
      <c r="J162" s="86"/>
      <c r="K162" s="87"/>
      <c r="N162" s="3"/>
    </row>
    <row r="163">
      <c r="D163" s="85"/>
      <c r="E163" s="85"/>
      <c r="J163" s="86"/>
      <c r="K163" s="87"/>
      <c r="N163" s="3"/>
    </row>
    <row r="164">
      <c r="D164" s="85"/>
      <c r="E164" s="85"/>
      <c r="J164" s="86"/>
      <c r="K164" s="87"/>
      <c r="N164" s="3"/>
    </row>
    <row r="165">
      <c r="D165" s="85"/>
      <c r="E165" s="85"/>
      <c r="J165" s="86"/>
      <c r="K165" s="87"/>
      <c r="N165" s="3"/>
    </row>
    <row r="166">
      <c r="D166" s="85"/>
      <c r="E166" s="85"/>
      <c r="J166" s="86"/>
      <c r="K166" s="87"/>
      <c r="N166" s="3"/>
    </row>
    <row r="167">
      <c r="D167" s="85"/>
      <c r="E167" s="85"/>
      <c r="J167" s="86"/>
      <c r="K167" s="87"/>
      <c r="N167" s="3"/>
    </row>
    <row r="168">
      <c r="D168" s="85"/>
      <c r="E168" s="85"/>
      <c r="J168" s="86"/>
      <c r="K168" s="87"/>
      <c r="N168" s="3"/>
    </row>
    <row r="169">
      <c r="D169" s="85"/>
      <c r="E169" s="85"/>
      <c r="J169" s="86"/>
      <c r="K169" s="87"/>
      <c r="N169" s="3"/>
    </row>
    <row r="170">
      <c r="D170" s="85"/>
      <c r="E170" s="85"/>
      <c r="J170" s="86"/>
      <c r="K170" s="87"/>
      <c r="N170" s="3"/>
    </row>
    <row r="171">
      <c r="D171" s="85"/>
      <c r="E171" s="85"/>
      <c r="J171" s="86"/>
      <c r="K171" s="87"/>
      <c r="N171" s="3"/>
    </row>
    <row r="172">
      <c r="D172" s="85"/>
      <c r="E172" s="85"/>
      <c r="J172" s="86"/>
      <c r="K172" s="87"/>
      <c r="N172" s="3"/>
    </row>
    <row r="173">
      <c r="D173" s="85"/>
      <c r="E173" s="85"/>
      <c r="J173" s="86"/>
      <c r="K173" s="87"/>
      <c r="N173" s="3"/>
    </row>
    <row r="174">
      <c r="D174" s="85"/>
      <c r="E174" s="85"/>
      <c r="J174" s="86"/>
      <c r="K174" s="87"/>
      <c r="N174" s="3"/>
    </row>
    <row r="175">
      <c r="D175" s="85"/>
      <c r="E175" s="85"/>
      <c r="J175" s="86"/>
      <c r="K175" s="87"/>
      <c r="N175" s="3"/>
    </row>
    <row r="176">
      <c r="D176" s="85"/>
      <c r="E176" s="85"/>
      <c r="J176" s="86"/>
      <c r="K176" s="87"/>
      <c r="N176" s="3"/>
    </row>
    <row r="177">
      <c r="D177" s="85"/>
      <c r="E177" s="85"/>
      <c r="J177" s="86"/>
      <c r="K177" s="87"/>
      <c r="N177" s="3"/>
    </row>
    <row r="178">
      <c r="D178" s="85"/>
      <c r="E178" s="85"/>
      <c r="J178" s="86"/>
      <c r="K178" s="87"/>
      <c r="N178" s="3"/>
    </row>
    <row r="179">
      <c r="D179" s="85"/>
      <c r="E179" s="85"/>
      <c r="J179" s="86"/>
      <c r="K179" s="87"/>
      <c r="N179" s="3"/>
    </row>
    <row r="180">
      <c r="D180" s="85"/>
      <c r="E180" s="85"/>
      <c r="J180" s="86"/>
      <c r="K180" s="87"/>
      <c r="N180" s="3"/>
    </row>
    <row r="181">
      <c r="D181" s="85"/>
      <c r="E181" s="85"/>
      <c r="J181" s="86"/>
      <c r="K181" s="87"/>
      <c r="N181" s="3"/>
    </row>
    <row r="182">
      <c r="D182" s="85"/>
      <c r="E182" s="85"/>
      <c r="J182" s="86"/>
      <c r="K182" s="87"/>
      <c r="N182" s="3"/>
    </row>
    <row r="183">
      <c r="D183" s="85"/>
      <c r="E183" s="85"/>
      <c r="J183" s="86"/>
      <c r="K183" s="87"/>
      <c r="N183" s="3"/>
    </row>
    <row r="184">
      <c r="D184" s="85"/>
      <c r="E184" s="85"/>
      <c r="J184" s="86"/>
      <c r="K184" s="87"/>
      <c r="N184" s="3"/>
    </row>
    <row r="185">
      <c r="D185" s="85"/>
      <c r="E185" s="85"/>
      <c r="J185" s="86"/>
      <c r="K185" s="87"/>
      <c r="N185" s="3"/>
    </row>
    <row r="186">
      <c r="D186" s="85"/>
      <c r="E186" s="85"/>
      <c r="J186" s="86"/>
      <c r="K186" s="87"/>
      <c r="N186" s="3"/>
    </row>
    <row r="187">
      <c r="D187" s="85"/>
      <c r="E187" s="85"/>
      <c r="J187" s="86"/>
      <c r="K187" s="87"/>
      <c r="N187" s="3"/>
    </row>
    <row r="188">
      <c r="D188" s="85"/>
      <c r="E188" s="85"/>
      <c r="J188" s="86"/>
      <c r="K188" s="87"/>
      <c r="N188" s="3"/>
    </row>
    <row r="189">
      <c r="D189" s="85"/>
      <c r="E189" s="85"/>
      <c r="J189" s="86"/>
      <c r="K189" s="87"/>
      <c r="N189" s="3"/>
    </row>
    <row r="190">
      <c r="D190" s="85"/>
      <c r="E190" s="85"/>
      <c r="J190" s="86"/>
      <c r="K190" s="87"/>
      <c r="N190" s="3"/>
    </row>
    <row r="191">
      <c r="D191" s="85"/>
      <c r="E191" s="85"/>
      <c r="J191" s="86"/>
      <c r="K191" s="87"/>
      <c r="N191" s="3"/>
    </row>
    <row r="192">
      <c r="D192" s="85"/>
      <c r="E192" s="85"/>
      <c r="J192" s="86"/>
      <c r="K192" s="87"/>
      <c r="N192" s="3"/>
    </row>
    <row r="193">
      <c r="D193" s="85"/>
      <c r="E193" s="85"/>
      <c r="J193" s="86"/>
      <c r="K193" s="87"/>
      <c r="N193" s="3"/>
    </row>
    <row r="194">
      <c r="D194" s="85"/>
      <c r="E194" s="85"/>
      <c r="J194" s="86"/>
      <c r="K194" s="87"/>
      <c r="N194" s="3"/>
    </row>
    <row r="195">
      <c r="D195" s="85"/>
      <c r="E195" s="85"/>
      <c r="J195" s="86"/>
      <c r="K195" s="87"/>
      <c r="N195" s="3"/>
    </row>
    <row r="196">
      <c r="D196" s="85"/>
      <c r="E196" s="85"/>
      <c r="J196" s="86"/>
      <c r="K196" s="87"/>
      <c r="N196" s="3"/>
    </row>
    <row r="197">
      <c r="D197" s="85"/>
      <c r="E197" s="85"/>
      <c r="J197" s="86"/>
      <c r="K197" s="87"/>
      <c r="N197" s="3"/>
    </row>
    <row r="198">
      <c r="D198" s="85"/>
      <c r="E198" s="85"/>
      <c r="J198" s="86"/>
      <c r="K198" s="87"/>
      <c r="N198" s="3"/>
    </row>
    <row r="199">
      <c r="D199" s="85"/>
      <c r="E199" s="85"/>
      <c r="J199" s="86"/>
      <c r="K199" s="87"/>
      <c r="N199" s="3"/>
    </row>
    <row r="200">
      <c r="D200" s="85"/>
      <c r="E200" s="85"/>
      <c r="J200" s="86"/>
      <c r="K200" s="87"/>
      <c r="N200" s="3"/>
    </row>
    <row r="201">
      <c r="D201" s="85"/>
      <c r="E201" s="85"/>
      <c r="J201" s="86"/>
      <c r="K201" s="87"/>
      <c r="N201" s="3"/>
    </row>
    <row r="202">
      <c r="D202" s="85"/>
      <c r="E202" s="85"/>
      <c r="J202" s="86"/>
      <c r="K202" s="87"/>
      <c r="N202" s="3"/>
    </row>
    <row r="203">
      <c r="D203" s="85"/>
      <c r="E203" s="85"/>
      <c r="J203" s="86"/>
      <c r="K203" s="87"/>
      <c r="N203" s="3"/>
    </row>
    <row r="204">
      <c r="D204" s="85"/>
      <c r="E204" s="85"/>
      <c r="J204" s="86"/>
      <c r="K204" s="87"/>
      <c r="N204" s="3"/>
    </row>
    <row r="205">
      <c r="D205" s="85"/>
      <c r="E205" s="85"/>
      <c r="J205" s="86"/>
      <c r="K205" s="87"/>
      <c r="N205" s="3"/>
    </row>
    <row r="206">
      <c r="D206" s="85"/>
      <c r="E206" s="85"/>
      <c r="J206" s="86"/>
      <c r="K206" s="87"/>
      <c r="N206" s="3"/>
    </row>
    <row r="207">
      <c r="D207" s="85"/>
      <c r="E207" s="85"/>
      <c r="J207" s="86"/>
      <c r="K207" s="87"/>
      <c r="N207" s="3"/>
    </row>
    <row r="208">
      <c r="D208" s="85"/>
      <c r="E208" s="85"/>
      <c r="J208" s="86"/>
      <c r="K208" s="87"/>
      <c r="N208" s="3"/>
    </row>
    <row r="209">
      <c r="D209" s="85"/>
      <c r="E209" s="85"/>
      <c r="J209" s="86"/>
      <c r="K209" s="87"/>
      <c r="N209" s="3"/>
    </row>
    <row r="210">
      <c r="D210" s="85"/>
      <c r="E210" s="85"/>
      <c r="J210" s="86"/>
      <c r="K210" s="87"/>
      <c r="N210" s="3"/>
    </row>
    <row r="211">
      <c r="D211" s="85"/>
      <c r="E211" s="85"/>
      <c r="J211" s="86"/>
      <c r="K211" s="87"/>
      <c r="N211" s="3"/>
    </row>
    <row r="212">
      <c r="D212" s="85"/>
      <c r="E212" s="85"/>
      <c r="J212" s="86"/>
      <c r="K212" s="87"/>
      <c r="N212" s="3"/>
    </row>
    <row r="213">
      <c r="D213" s="85"/>
      <c r="E213" s="85"/>
      <c r="J213" s="86"/>
      <c r="K213" s="87"/>
      <c r="N213" s="3"/>
    </row>
    <row r="214">
      <c r="D214" s="85"/>
      <c r="E214" s="85"/>
      <c r="J214" s="86"/>
      <c r="K214" s="87"/>
      <c r="N214" s="3"/>
    </row>
    <row r="215">
      <c r="D215" s="85"/>
      <c r="E215" s="85"/>
      <c r="J215" s="86"/>
      <c r="K215" s="87"/>
      <c r="N215" s="3"/>
    </row>
    <row r="216">
      <c r="D216" s="85"/>
      <c r="E216" s="85"/>
      <c r="J216" s="86"/>
      <c r="K216" s="87"/>
      <c r="N216" s="3"/>
    </row>
    <row r="217">
      <c r="D217" s="85"/>
      <c r="E217" s="85"/>
      <c r="J217" s="86"/>
      <c r="K217" s="87"/>
      <c r="N217" s="3"/>
    </row>
    <row r="218">
      <c r="D218" s="85"/>
      <c r="E218" s="85"/>
      <c r="J218" s="86"/>
      <c r="K218" s="87"/>
      <c r="N218" s="3"/>
    </row>
    <row r="219">
      <c r="D219" s="85"/>
      <c r="E219" s="85"/>
      <c r="J219" s="86"/>
      <c r="K219" s="87"/>
      <c r="N219" s="3"/>
    </row>
    <row r="220">
      <c r="D220" s="85"/>
      <c r="E220" s="85"/>
      <c r="J220" s="86"/>
      <c r="K220" s="87"/>
      <c r="N220" s="3"/>
    </row>
    <row r="221">
      <c r="D221" s="85"/>
      <c r="E221" s="85"/>
      <c r="J221" s="86"/>
      <c r="K221" s="87"/>
      <c r="N221" s="3"/>
    </row>
    <row r="222">
      <c r="D222" s="85"/>
      <c r="E222" s="85"/>
      <c r="J222" s="86"/>
      <c r="K222" s="87"/>
      <c r="N222" s="3"/>
    </row>
    <row r="223">
      <c r="D223" s="85"/>
      <c r="E223" s="85"/>
      <c r="J223" s="86"/>
      <c r="K223" s="87"/>
      <c r="N223" s="3"/>
    </row>
    <row r="224">
      <c r="D224" s="85"/>
      <c r="E224" s="85"/>
      <c r="J224" s="86"/>
      <c r="K224" s="87"/>
      <c r="N224" s="3"/>
    </row>
    <row r="225">
      <c r="D225" s="85"/>
      <c r="E225" s="85"/>
      <c r="J225" s="86"/>
      <c r="K225" s="87"/>
      <c r="N225" s="3"/>
    </row>
    <row r="226">
      <c r="D226" s="85"/>
      <c r="E226" s="85"/>
      <c r="J226" s="86"/>
      <c r="K226" s="87"/>
      <c r="N226" s="3"/>
    </row>
    <row r="227">
      <c r="D227" s="85"/>
      <c r="E227" s="85"/>
      <c r="J227" s="86"/>
      <c r="K227" s="87"/>
      <c r="N227" s="3"/>
    </row>
    <row r="228">
      <c r="D228" s="85"/>
      <c r="E228" s="85"/>
      <c r="J228" s="86"/>
      <c r="K228" s="87"/>
      <c r="N228" s="3"/>
    </row>
    <row r="229">
      <c r="D229" s="85"/>
      <c r="E229" s="85"/>
      <c r="J229" s="86"/>
      <c r="K229" s="87"/>
      <c r="N229" s="3"/>
    </row>
    <row r="230">
      <c r="D230" s="85"/>
      <c r="E230" s="85"/>
      <c r="J230" s="86"/>
      <c r="K230" s="87"/>
      <c r="N230" s="3"/>
    </row>
    <row r="231">
      <c r="D231" s="85"/>
      <c r="E231" s="85"/>
      <c r="J231" s="86"/>
      <c r="K231" s="87"/>
      <c r="N231" s="3"/>
    </row>
    <row r="232">
      <c r="D232" s="85"/>
      <c r="E232" s="85"/>
      <c r="J232" s="86"/>
      <c r="K232" s="87"/>
      <c r="N232" s="3"/>
    </row>
    <row r="233">
      <c r="D233" s="85"/>
      <c r="E233" s="85"/>
      <c r="J233" s="86"/>
      <c r="K233" s="87"/>
      <c r="N233" s="3"/>
    </row>
    <row r="234">
      <c r="D234" s="85"/>
      <c r="E234" s="85"/>
      <c r="J234" s="86"/>
      <c r="K234" s="87"/>
      <c r="N234" s="3"/>
    </row>
    <row r="235">
      <c r="D235" s="85"/>
      <c r="E235" s="85"/>
      <c r="J235" s="86"/>
      <c r="K235" s="87"/>
      <c r="N235" s="3"/>
    </row>
    <row r="236">
      <c r="D236" s="85"/>
      <c r="E236" s="85"/>
      <c r="J236" s="86"/>
      <c r="K236" s="87"/>
      <c r="N236" s="3"/>
    </row>
    <row r="237">
      <c r="D237" s="85"/>
      <c r="E237" s="85"/>
      <c r="J237" s="86"/>
      <c r="K237" s="87"/>
      <c r="N237" s="3"/>
    </row>
    <row r="238">
      <c r="D238" s="85"/>
      <c r="E238" s="85"/>
      <c r="J238" s="86"/>
      <c r="K238" s="87"/>
      <c r="N238" s="3"/>
    </row>
    <row r="239">
      <c r="D239" s="85"/>
      <c r="E239" s="85"/>
      <c r="J239" s="86"/>
      <c r="K239" s="87"/>
      <c r="N239" s="3"/>
    </row>
    <row r="240">
      <c r="D240" s="85"/>
      <c r="E240" s="85"/>
      <c r="J240" s="86"/>
      <c r="K240" s="87"/>
      <c r="N240" s="3"/>
    </row>
    <row r="241">
      <c r="D241" s="85"/>
      <c r="E241" s="85"/>
      <c r="J241" s="86"/>
      <c r="K241" s="87"/>
      <c r="N241" s="3"/>
    </row>
    <row r="242">
      <c r="D242" s="85"/>
      <c r="E242" s="85"/>
      <c r="J242" s="86"/>
      <c r="K242" s="87"/>
      <c r="N242" s="3"/>
    </row>
    <row r="243">
      <c r="D243" s="85"/>
      <c r="E243" s="85"/>
      <c r="J243" s="86"/>
      <c r="K243" s="87"/>
      <c r="N243" s="3"/>
    </row>
    <row r="244">
      <c r="D244" s="85"/>
      <c r="E244" s="85"/>
      <c r="J244" s="86"/>
      <c r="K244" s="87"/>
      <c r="N244" s="3"/>
    </row>
    <row r="245">
      <c r="D245" s="85"/>
      <c r="E245" s="85"/>
      <c r="J245" s="86"/>
      <c r="K245" s="87"/>
      <c r="N245" s="3"/>
    </row>
    <row r="246">
      <c r="D246" s="85"/>
      <c r="E246" s="85"/>
      <c r="J246" s="86"/>
      <c r="K246" s="87"/>
      <c r="N246" s="3"/>
    </row>
    <row r="247">
      <c r="D247" s="85"/>
      <c r="E247" s="85"/>
      <c r="J247" s="86"/>
      <c r="K247" s="87"/>
      <c r="N247" s="3"/>
    </row>
    <row r="248">
      <c r="D248" s="85"/>
      <c r="E248" s="85"/>
      <c r="J248" s="86"/>
      <c r="K248" s="87"/>
      <c r="N248" s="3"/>
    </row>
    <row r="249">
      <c r="D249" s="85"/>
      <c r="E249" s="85"/>
      <c r="J249" s="86"/>
      <c r="K249" s="87"/>
      <c r="N249" s="3"/>
    </row>
    <row r="250">
      <c r="D250" s="85"/>
      <c r="E250" s="85"/>
      <c r="J250" s="86"/>
      <c r="K250" s="87"/>
      <c r="N250" s="3"/>
    </row>
    <row r="251">
      <c r="D251" s="85"/>
      <c r="E251" s="85"/>
      <c r="J251" s="86"/>
      <c r="K251" s="87"/>
      <c r="N251" s="3"/>
    </row>
    <row r="252">
      <c r="D252" s="85"/>
      <c r="E252" s="85"/>
      <c r="J252" s="86"/>
      <c r="K252" s="87"/>
      <c r="N252" s="3"/>
    </row>
    <row r="253">
      <c r="D253" s="85"/>
      <c r="E253" s="85"/>
      <c r="J253" s="86"/>
      <c r="K253" s="87"/>
      <c r="N253" s="3"/>
    </row>
    <row r="254">
      <c r="D254" s="85"/>
      <c r="E254" s="85"/>
      <c r="J254" s="86"/>
      <c r="K254" s="87"/>
      <c r="N254" s="3"/>
    </row>
    <row r="255">
      <c r="D255" s="85"/>
      <c r="E255" s="85"/>
      <c r="J255" s="86"/>
      <c r="K255" s="87"/>
      <c r="N255" s="3"/>
    </row>
    <row r="256">
      <c r="D256" s="85"/>
      <c r="E256" s="85"/>
      <c r="J256" s="86"/>
      <c r="K256" s="87"/>
      <c r="N256" s="3"/>
    </row>
    <row r="257">
      <c r="D257" s="85"/>
      <c r="E257" s="85"/>
      <c r="J257" s="86"/>
      <c r="K257" s="87"/>
      <c r="N257" s="3"/>
    </row>
    <row r="258">
      <c r="D258" s="85"/>
      <c r="E258" s="85"/>
      <c r="J258" s="86"/>
      <c r="K258" s="87"/>
      <c r="N258" s="3"/>
    </row>
    <row r="259">
      <c r="D259" s="85"/>
      <c r="E259" s="85"/>
      <c r="J259" s="86"/>
      <c r="K259" s="87"/>
      <c r="N259" s="3"/>
    </row>
    <row r="260">
      <c r="D260" s="85"/>
      <c r="E260" s="85"/>
      <c r="J260" s="86"/>
      <c r="K260" s="87"/>
      <c r="N260" s="3"/>
    </row>
    <row r="261">
      <c r="D261" s="85"/>
      <c r="E261" s="85"/>
      <c r="J261" s="86"/>
      <c r="K261" s="87"/>
      <c r="N261" s="3"/>
    </row>
    <row r="262">
      <c r="D262" s="85"/>
      <c r="E262" s="85"/>
      <c r="J262" s="86"/>
      <c r="K262" s="87"/>
      <c r="N262" s="3"/>
    </row>
    <row r="263">
      <c r="D263" s="85"/>
      <c r="E263" s="85"/>
      <c r="J263" s="86"/>
      <c r="K263" s="87"/>
      <c r="N263" s="3"/>
    </row>
    <row r="264">
      <c r="D264" s="85"/>
      <c r="E264" s="85"/>
      <c r="J264" s="86"/>
      <c r="K264" s="87"/>
      <c r="N264" s="3"/>
    </row>
    <row r="265">
      <c r="D265" s="85"/>
      <c r="E265" s="85"/>
      <c r="J265" s="86"/>
      <c r="K265" s="87"/>
      <c r="N265" s="3"/>
    </row>
    <row r="266">
      <c r="D266" s="85"/>
      <c r="E266" s="85"/>
      <c r="J266" s="86"/>
      <c r="K266" s="87"/>
      <c r="N266" s="3"/>
    </row>
    <row r="267">
      <c r="D267" s="85"/>
      <c r="E267" s="85"/>
      <c r="J267" s="86"/>
      <c r="K267" s="87"/>
      <c r="N267" s="3"/>
    </row>
    <row r="268">
      <c r="D268" s="85"/>
      <c r="E268" s="85"/>
      <c r="J268" s="86"/>
      <c r="K268" s="87"/>
      <c r="N268" s="3"/>
    </row>
    <row r="269">
      <c r="D269" s="85"/>
      <c r="E269" s="85"/>
      <c r="J269" s="86"/>
      <c r="K269" s="87"/>
      <c r="N269" s="3"/>
    </row>
    <row r="270">
      <c r="D270" s="85"/>
      <c r="E270" s="85"/>
      <c r="J270" s="86"/>
      <c r="K270" s="87"/>
      <c r="N270" s="3"/>
    </row>
    <row r="271">
      <c r="D271" s="85"/>
      <c r="E271" s="85"/>
      <c r="J271" s="86"/>
      <c r="K271" s="87"/>
      <c r="N271" s="3"/>
    </row>
    <row r="272">
      <c r="D272" s="85"/>
      <c r="E272" s="85"/>
      <c r="J272" s="86"/>
      <c r="K272" s="87"/>
      <c r="N272" s="3"/>
    </row>
    <row r="273">
      <c r="D273" s="85"/>
      <c r="E273" s="85"/>
      <c r="J273" s="86"/>
      <c r="K273" s="87"/>
      <c r="N273" s="3"/>
    </row>
    <row r="274">
      <c r="D274" s="85"/>
      <c r="E274" s="85"/>
      <c r="J274" s="86"/>
      <c r="K274" s="87"/>
      <c r="N274" s="3"/>
    </row>
    <row r="275">
      <c r="D275" s="85"/>
      <c r="E275" s="85"/>
      <c r="J275" s="86"/>
      <c r="K275" s="87"/>
      <c r="N275" s="3"/>
    </row>
    <row r="276">
      <c r="D276" s="85"/>
      <c r="E276" s="85"/>
      <c r="J276" s="86"/>
      <c r="K276" s="87"/>
      <c r="N276" s="3"/>
    </row>
    <row r="277">
      <c r="D277" s="85"/>
      <c r="E277" s="85"/>
      <c r="J277" s="86"/>
      <c r="K277" s="87"/>
      <c r="N277" s="3"/>
    </row>
    <row r="278">
      <c r="D278" s="85"/>
      <c r="E278" s="85"/>
      <c r="J278" s="86"/>
      <c r="K278" s="87"/>
      <c r="N278" s="3"/>
    </row>
    <row r="279">
      <c r="D279" s="85"/>
      <c r="E279" s="85"/>
      <c r="J279" s="86"/>
      <c r="K279" s="87"/>
      <c r="N279" s="3"/>
    </row>
    <row r="280">
      <c r="D280" s="85"/>
      <c r="E280" s="85"/>
      <c r="J280" s="86"/>
      <c r="K280" s="87"/>
      <c r="N280" s="3"/>
    </row>
    <row r="281">
      <c r="D281" s="85"/>
      <c r="E281" s="85"/>
      <c r="J281" s="86"/>
      <c r="K281" s="87"/>
      <c r="N281" s="3"/>
    </row>
    <row r="282">
      <c r="D282" s="85"/>
      <c r="E282" s="85"/>
      <c r="J282" s="86"/>
      <c r="K282" s="87"/>
      <c r="N282" s="3"/>
    </row>
    <row r="283">
      <c r="D283" s="85"/>
      <c r="E283" s="85"/>
      <c r="J283" s="86"/>
      <c r="K283" s="87"/>
      <c r="N283" s="3"/>
    </row>
    <row r="284">
      <c r="D284" s="85"/>
      <c r="E284" s="85"/>
      <c r="J284" s="86"/>
      <c r="K284" s="87"/>
      <c r="N284" s="3"/>
    </row>
    <row r="285">
      <c r="D285" s="85"/>
      <c r="E285" s="85"/>
      <c r="J285" s="86"/>
      <c r="K285" s="87"/>
      <c r="N285" s="3"/>
    </row>
    <row r="286">
      <c r="D286" s="85"/>
      <c r="E286" s="85"/>
      <c r="J286" s="86"/>
      <c r="K286" s="87"/>
      <c r="N286" s="3"/>
    </row>
    <row r="287">
      <c r="D287" s="85"/>
      <c r="E287" s="85"/>
      <c r="J287" s="86"/>
      <c r="K287" s="87"/>
      <c r="N287" s="3"/>
    </row>
    <row r="288">
      <c r="D288" s="85"/>
      <c r="E288" s="85"/>
      <c r="J288" s="86"/>
      <c r="K288" s="87"/>
      <c r="N288" s="3"/>
    </row>
    <row r="289">
      <c r="D289" s="85"/>
      <c r="E289" s="85"/>
      <c r="J289" s="86"/>
      <c r="K289" s="87"/>
      <c r="N289" s="3"/>
    </row>
    <row r="290">
      <c r="D290" s="85"/>
      <c r="E290" s="85"/>
      <c r="J290" s="86"/>
      <c r="K290" s="87"/>
      <c r="N290" s="3"/>
    </row>
    <row r="291">
      <c r="D291" s="85"/>
      <c r="E291" s="85"/>
      <c r="J291" s="86"/>
      <c r="K291" s="87"/>
      <c r="N291" s="3"/>
    </row>
    <row r="292">
      <c r="D292" s="85"/>
      <c r="E292" s="85"/>
      <c r="J292" s="86"/>
      <c r="K292" s="87"/>
      <c r="N292" s="3"/>
    </row>
    <row r="293">
      <c r="D293" s="85"/>
      <c r="E293" s="85"/>
      <c r="J293" s="86"/>
      <c r="K293" s="87"/>
      <c r="N293" s="3"/>
    </row>
    <row r="294">
      <c r="D294" s="85"/>
      <c r="E294" s="85"/>
      <c r="J294" s="86"/>
      <c r="K294" s="87"/>
      <c r="N294" s="3"/>
    </row>
    <row r="295">
      <c r="D295" s="85"/>
      <c r="E295" s="85"/>
      <c r="J295" s="86"/>
      <c r="K295" s="87"/>
      <c r="N295" s="3"/>
    </row>
    <row r="296">
      <c r="D296" s="85"/>
      <c r="E296" s="85"/>
      <c r="J296" s="86"/>
      <c r="K296" s="87"/>
      <c r="N296" s="3"/>
    </row>
    <row r="297">
      <c r="D297" s="85"/>
      <c r="E297" s="85"/>
      <c r="J297" s="86"/>
      <c r="K297" s="87"/>
      <c r="N297" s="3"/>
    </row>
    <row r="298">
      <c r="D298" s="85"/>
      <c r="E298" s="85"/>
      <c r="J298" s="86"/>
      <c r="K298" s="87"/>
      <c r="N298" s="3"/>
    </row>
    <row r="299">
      <c r="D299" s="85"/>
      <c r="E299" s="85"/>
      <c r="J299" s="86"/>
      <c r="K299" s="87"/>
      <c r="N299" s="3"/>
    </row>
    <row r="300">
      <c r="D300" s="85"/>
      <c r="E300" s="85"/>
      <c r="J300" s="86"/>
      <c r="K300" s="87"/>
      <c r="N300" s="3"/>
    </row>
    <row r="301">
      <c r="D301" s="85"/>
      <c r="E301" s="85"/>
      <c r="J301" s="86"/>
      <c r="K301" s="87"/>
      <c r="N301" s="3"/>
    </row>
    <row r="302">
      <c r="D302" s="85"/>
      <c r="E302" s="85"/>
      <c r="J302" s="86"/>
      <c r="K302" s="87"/>
      <c r="N302" s="3"/>
    </row>
    <row r="303">
      <c r="D303" s="85"/>
      <c r="E303" s="85"/>
      <c r="J303" s="86"/>
      <c r="K303" s="87"/>
      <c r="N303" s="3"/>
    </row>
    <row r="304">
      <c r="D304" s="85"/>
      <c r="E304" s="85"/>
      <c r="J304" s="86"/>
      <c r="K304" s="87"/>
      <c r="N304" s="3"/>
    </row>
    <row r="305">
      <c r="D305" s="85"/>
      <c r="E305" s="85"/>
      <c r="J305" s="86"/>
      <c r="K305" s="87"/>
      <c r="N305" s="3"/>
    </row>
    <row r="306">
      <c r="D306" s="85"/>
      <c r="E306" s="85"/>
      <c r="J306" s="86"/>
      <c r="K306" s="87"/>
      <c r="N306" s="3"/>
    </row>
    <row r="307">
      <c r="D307" s="85"/>
      <c r="E307" s="85"/>
      <c r="J307" s="86"/>
      <c r="K307" s="87"/>
      <c r="N307" s="3"/>
    </row>
    <row r="308">
      <c r="D308" s="85"/>
      <c r="E308" s="85"/>
      <c r="J308" s="86"/>
      <c r="K308" s="87"/>
      <c r="N308" s="3"/>
    </row>
    <row r="309">
      <c r="D309" s="85"/>
      <c r="E309" s="85"/>
      <c r="J309" s="86"/>
      <c r="K309" s="87"/>
      <c r="N309" s="3"/>
    </row>
    <row r="310">
      <c r="D310" s="85"/>
      <c r="E310" s="85"/>
      <c r="J310" s="86"/>
      <c r="K310" s="87"/>
      <c r="N310" s="3"/>
    </row>
    <row r="311">
      <c r="D311" s="85"/>
      <c r="E311" s="85"/>
      <c r="J311" s="86"/>
      <c r="K311" s="87"/>
      <c r="N311" s="3"/>
    </row>
    <row r="312">
      <c r="D312" s="85"/>
      <c r="E312" s="85"/>
      <c r="J312" s="86"/>
      <c r="K312" s="87"/>
      <c r="N312" s="3"/>
    </row>
    <row r="313">
      <c r="D313" s="85"/>
      <c r="E313" s="85"/>
      <c r="J313" s="86"/>
      <c r="K313" s="87"/>
      <c r="N313" s="3"/>
    </row>
    <row r="314">
      <c r="D314" s="85"/>
      <c r="E314" s="85"/>
      <c r="J314" s="86"/>
      <c r="K314" s="87"/>
      <c r="N314" s="3"/>
    </row>
    <row r="315">
      <c r="D315" s="85"/>
      <c r="E315" s="85"/>
      <c r="J315" s="86"/>
      <c r="K315" s="87"/>
      <c r="N315" s="3"/>
    </row>
    <row r="316">
      <c r="D316" s="85"/>
      <c r="E316" s="85"/>
      <c r="J316" s="86"/>
      <c r="K316" s="87"/>
      <c r="N316" s="3"/>
    </row>
    <row r="317">
      <c r="D317" s="85"/>
      <c r="E317" s="85"/>
      <c r="J317" s="86"/>
      <c r="K317" s="87"/>
      <c r="N317" s="3"/>
    </row>
    <row r="318">
      <c r="D318" s="85"/>
      <c r="E318" s="85"/>
      <c r="J318" s="86"/>
      <c r="K318" s="87"/>
      <c r="N318" s="3"/>
    </row>
    <row r="319">
      <c r="D319" s="85"/>
      <c r="E319" s="85"/>
      <c r="J319" s="86"/>
      <c r="K319" s="87"/>
      <c r="N319" s="3"/>
    </row>
    <row r="320">
      <c r="D320" s="85"/>
      <c r="E320" s="85"/>
      <c r="J320" s="86"/>
      <c r="K320" s="87"/>
      <c r="N320" s="3"/>
    </row>
    <row r="321">
      <c r="D321" s="85"/>
      <c r="E321" s="85"/>
      <c r="J321" s="86"/>
      <c r="K321" s="87"/>
      <c r="N321" s="3"/>
    </row>
    <row r="322">
      <c r="D322" s="85"/>
      <c r="E322" s="85"/>
      <c r="J322" s="86"/>
      <c r="K322" s="87"/>
      <c r="N322" s="3"/>
    </row>
    <row r="323">
      <c r="D323" s="85"/>
      <c r="E323" s="85"/>
      <c r="J323" s="86"/>
      <c r="K323" s="87"/>
      <c r="N323" s="3"/>
    </row>
    <row r="324">
      <c r="D324" s="85"/>
      <c r="E324" s="85"/>
      <c r="J324" s="86"/>
      <c r="K324" s="87"/>
      <c r="N324" s="3"/>
    </row>
    <row r="325">
      <c r="D325" s="85"/>
      <c r="E325" s="85"/>
      <c r="J325" s="86"/>
      <c r="K325" s="87"/>
      <c r="N325" s="3"/>
    </row>
    <row r="326">
      <c r="D326" s="85"/>
      <c r="E326" s="85"/>
      <c r="J326" s="86"/>
      <c r="K326" s="87"/>
      <c r="N326" s="3"/>
    </row>
    <row r="327">
      <c r="D327" s="85"/>
      <c r="E327" s="85"/>
      <c r="J327" s="86"/>
      <c r="K327" s="87"/>
      <c r="N327" s="3"/>
    </row>
    <row r="328">
      <c r="D328" s="85"/>
      <c r="E328" s="85"/>
      <c r="J328" s="86"/>
      <c r="K328" s="87"/>
      <c r="N328" s="3"/>
    </row>
    <row r="329">
      <c r="D329" s="85"/>
      <c r="E329" s="85"/>
      <c r="J329" s="86"/>
      <c r="K329" s="87"/>
      <c r="N329" s="3"/>
    </row>
    <row r="330">
      <c r="D330" s="85"/>
      <c r="E330" s="85"/>
      <c r="J330" s="86"/>
      <c r="K330" s="87"/>
      <c r="N330" s="3"/>
    </row>
    <row r="331">
      <c r="D331" s="85"/>
      <c r="E331" s="85"/>
      <c r="J331" s="86"/>
      <c r="K331" s="87"/>
      <c r="N331" s="3"/>
    </row>
    <row r="332">
      <c r="D332" s="85"/>
      <c r="E332" s="85"/>
      <c r="J332" s="86"/>
      <c r="K332" s="87"/>
      <c r="N332" s="3"/>
    </row>
    <row r="333">
      <c r="D333" s="85"/>
      <c r="E333" s="85"/>
      <c r="J333" s="86"/>
      <c r="K333" s="87"/>
      <c r="N333" s="3"/>
    </row>
    <row r="334">
      <c r="D334" s="85"/>
      <c r="E334" s="85"/>
      <c r="J334" s="86"/>
      <c r="K334" s="87"/>
      <c r="N334" s="3"/>
    </row>
    <row r="335">
      <c r="D335" s="85"/>
      <c r="E335" s="85"/>
      <c r="J335" s="86"/>
      <c r="K335" s="87"/>
      <c r="N335" s="3"/>
    </row>
    <row r="336">
      <c r="D336" s="85"/>
      <c r="E336" s="85"/>
      <c r="J336" s="86"/>
      <c r="K336" s="87"/>
      <c r="N336" s="3"/>
    </row>
    <row r="337">
      <c r="D337" s="85"/>
      <c r="E337" s="85"/>
      <c r="J337" s="86"/>
      <c r="K337" s="87"/>
      <c r="N337" s="3"/>
    </row>
    <row r="338">
      <c r="D338" s="85"/>
      <c r="E338" s="85"/>
      <c r="J338" s="86"/>
      <c r="K338" s="87"/>
      <c r="N338" s="3"/>
    </row>
    <row r="339">
      <c r="D339" s="85"/>
      <c r="E339" s="85"/>
      <c r="J339" s="86"/>
      <c r="K339" s="87"/>
      <c r="N339" s="3"/>
    </row>
    <row r="340">
      <c r="D340" s="85"/>
      <c r="E340" s="85"/>
      <c r="J340" s="86"/>
      <c r="K340" s="87"/>
      <c r="N340" s="3"/>
    </row>
    <row r="341">
      <c r="D341" s="85"/>
      <c r="E341" s="85"/>
      <c r="J341" s="86"/>
      <c r="K341" s="87"/>
      <c r="N341" s="3"/>
    </row>
    <row r="342">
      <c r="D342" s="85"/>
      <c r="E342" s="85"/>
      <c r="J342" s="86"/>
      <c r="K342" s="87"/>
      <c r="N342" s="3"/>
    </row>
    <row r="343">
      <c r="D343" s="85"/>
      <c r="E343" s="85"/>
      <c r="J343" s="86"/>
      <c r="K343" s="87"/>
      <c r="N343" s="3"/>
    </row>
    <row r="344">
      <c r="D344" s="85"/>
      <c r="E344" s="85"/>
      <c r="J344" s="86"/>
      <c r="K344" s="87"/>
      <c r="N344" s="3"/>
    </row>
    <row r="345">
      <c r="D345" s="85"/>
      <c r="E345" s="85"/>
      <c r="J345" s="86"/>
      <c r="K345" s="87"/>
      <c r="N345" s="3"/>
    </row>
    <row r="346">
      <c r="D346" s="85"/>
      <c r="E346" s="85"/>
      <c r="J346" s="86"/>
      <c r="K346" s="87"/>
      <c r="N346" s="3"/>
    </row>
    <row r="347">
      <c r="D347" s="85"/>
      <c r="E347" s="85"/>
      <c r="J347" s="86"/>
      <c r="K347" s="87"/>
      <c r="N347" s="3"/>
    </row>
    <row r="348">
      <c r="D348" s="85"/>
      <c r="E348" s="85"/>
      <c r="J348" s="86"/>
      <c r="K348" s="87"/>
      <c r="N348" s="3"/>
    </row>
    <row r="349">
      <c r="D349" s="85"/>
      <c r="E349" s="85"/>
      <c r="J349" s="86"/>
      <c r="K349" s="87"/>
      <c r="N349" s="3"/>
    </row>
    <row r="350">
      <c r="D350" s="85"/>
      <c r="E350" s="85"/>
      <c r="J350" s="86"/>
      <c r="K350" s="87"/>
      <c r="N350" s="3"/>
    </row>
    <row r="351">
      <c r="D351" s="85"/>
      <c r="E351" s="85"/>
      <c r="J351" s="86"/>
      <c r="K351" s="87"/>
      <c r="N351" s="3"/>
    </row>
    <row r="352">
      <c r="D352" s="85"/>
      <c r="E352" s="85"/>
      <c r="J352" s="86"/>
      <c r="K352" s="87"/>
      <c r="N352" s="3"/>
    </row>
    <row r="353">
      <c r="D353" s="85"/>
      <c r="E353" s="85"/>
      <c r="J353" s="86"/>
      <c r="K353" s="87"/>
      <c r="N353" s="3"/>
    </row>
    <row r="354">
      <c r="D354" s="85"/>
      <c r="E354" s="85"/>
      <c r="J354" s="86"/>
      <c r="K354" s="87"/>
      <c r="N354" s="3"/>
    </row>
    <row r="355">
      <c r="D355" s="85"/>
      <c r="E355" s="85"/>
      <c r="J355" s="86"/>
      <c r="K355" s="87"/>
      <c r="N355" s="3"/>
    </row>
    <row r="356">
      <c r="D356" s="85"/>
      <c r="E356" s="85"/>
      <c r="J356" s="86"/>
      <c r="K356" s="87"/>
      <c r="N356" s="3"/>
    </row>
    <row r="357">
      <c r="D357" s="85"/>
      <c r="E357" s="85"/>
      <c r="J357" s="86"/>
      <c r="K357" s="87"/>
      <c r="N357" s="3"/>
    </row>
    <row r="358">
      <c r="D358" s="85"/>
      <c r="E358" s="85"/>
      <c r="J358" s="86"/>
      <c r="K358" s="87"/>
      <c r="N358" s="3"/>
    </row>
    <row r="359">
      <c r="D359" s="85"/>
      <c r="E359" s="85"/>
      <c r="J359" s="86"/>
      <c r="K359" s="87"/>
      <c r="N359" s="3"/>
    </row>
    <row r="360">
      <c r="D360" s="85"/>
      <c r="E360" s="85"/>
      <c r="J360" s="86"/>
      <c r="K360" s="87"/>
      <c r="N360" s="3"/>
    </row>
    <row r="361">
      <c r="D361" s="85"/>
      <c r="E361" s="85"/>
      <c r="J361" s="86"/>
      <c r="K361" s="87"/>
      <c r="N361" s="3"/>
    </row>
    <row r="362">
      <c r="D362" s="85"/>
      <c r="E362" s="85"/>
      <c r="J362" s="86"/>
      <c r="K362" s="87"/>
      <c r="N362" s="3"/>
    </row>
    <row r="363">
      <c r="D363" s="85"/>
      <c r="E363" s="85"/>
      <c r="J363" s="86"/>
      <c r="K363" s="87"/>
      <c r="N363" s="3"/>
    </row>
    <row r="364">
      <c r="D364" s="85"/>
      <c r="E364" s="85"/>
      <c r="J364" s="86"/>
      <c r="K364" s="87"/>
      <c r="N364" s="3"/>
    </row>
    <row r="365">
      <c r="D365" s="85"/>
      <c r="E365" s="85"/>
      <c r="J365" s="86"/>
      <c r="K365" s="87"/>
      <c r="N365" s="3"/>
    </row>
    <row r="366">
      <c r="D366" s="85"/>
      <c r="E366" s="85"/>
      <c r="J366" s="86"/>
      <c r="K366" s="87"/>
      <c r="N366" s="3"/>
    </row>
    <row r="367">
      <c r="D367" s="85"/>
      <c r="E367" s="85"/>
      <c r="J367" s="86"/>
      <c r="K367" s="87"/>
      <c r="N367" s="3"/>
    </row>
    <row r="368">
      <c r="D368" s="85"/>
      <c r="E368" s="85"/>
      <c r="J368" s="86"/>
      <c r="K368" s="87"/>
      <c r="N368" s="3"/>
    </row>
    <row r="369">
      <c r="D369" s="85"/>
      <c r="E369" s="85"/>
      <c r="J369" s="86"/>
      <c r="K369" s="87"/>
      <c r="N369" s="3"/>
    </row>
    <row r="370">
      <c r="D370" s="85"/>
      <c r="E370" s="85"/>
      <c r="J370" s="86"/>
      <c r="K370" s="87"/>
      <c r="N370" s="3"/>
    </row>
    <row r="371">
      <c r="D371" s="85"/>
      <c r="E371" s="85"/>
      <c r="J371" s="86"/>
      <c r="K371" s="87"/>
      <c r="N371" s="3"/>
    </row>
    <row r="372">
      <c r="D372" s="85"/>
      <c r="E372" s="85"/>
      <c r="J372" s="86"/>
      <c r="K372" s="87"/>
      <c r="N372" s="3"/>
    </row>
    <row r="373">
      <c r="D373" s="85"/>
      <c r="E373" s="85"/>
      <c r="J373" s="86"/>
      <c r="K373" s="87"/>
      <c r="N373" s="3"/>
    </row>
    <row r="374">
      <c r="D374" s="85"/>
      <c r="E374" s="85"/>
      <c r="J374" s="86"/>
      <c r="K374" s="87"/>
      <c r="N374" s="3"/>
    </row>
    <row r="375">
      <c r="D375" s="85"/>
      <c r="E375" s="85"/>
      <c r="J375" s="86"/>
      <c r="K375" s="87"/>
      <c r="N375" s="3"/>
    </row>
    <row r="376">
      <c r="D376" s="85"/>
      <c r="E376" s="85"/>
      <c r="J376" s="86"/>
      <c r="K376" s="87"/>
      <c r="N376" s="3"/>
    </row>
    <row r="377">
      <c r="D377" s="85"/>
      <c r="E377" s="85"/>
      <c r="J377" s="86"/>
      <c r="K377" s="87"/>
      <c r="N377" s="3"/>
    </row>
    <row r="378">
      <c r="D378" s="85"/>
      <c r="E378" s="85"/>
      <c r="J378" s="86"/>
      <c r="K378" s="87"/>
      <c r="N378" s="3"/>
    </row>
    <row r="379">
      <c r="D379" s="85"/>
      <c r="E379" s="85"/>
      <c r="J379" s="86"/>
      <c r="K379" s="87"/>
      <c r="N379" s="3"/>
    </row>
    <row r="380">
      <c r="D380" s="85"/>
      <c r="E380" s="85"/>
      <c r="J380" s="86"/>
      <c r="K380" s="87"/>
      <c r="N380" s="3"/>
    </row>
    <row r="381">
      <c r="D381" s="85"/>
      <c r="E381" s="85"/>
      <c r="J381" s="86"/>
      <c r="K381" s="87"/>
      <c r="N381" s="3"/>
    </row>
    <row r="382">
      <c r="D382" s="85"/>
      <c r="E382" s="85"/>
      <c r="J382" s="86"/>
      <c r="K382" s="87"/>
      <c r="N382" s="3"/>
    </row>
    <row r="383">
      <c r="D383" s="85"/>
      <c r="E383" s="85"/>
      <c r="J383" s="86"/>
      <c r="K383" s="87"/>
      <c r="N383" s="3"/>
    </row>
    <row r="384">
      <c r="D384" s="85"/>
      <c r="E384" s="85"/>
      <c r="J384" s="86"/>
      <c r="K384" s="87"/>
      <c r="N384" s="3"/>
    </row>
    <row r="385">
      <c r="D385" s="85"/>
      <c r="E385" s="85"/>
      <c r="J385" s="86"/>
      <c r="K385" s="87"/>
      <c r="N385" s="3"/>
    </row>
    <row r="386">
      <c r="D386" s="85"/>
      <c r="E386" s="85"/>
      <c r="J386" s="86"/>
      <c r="K386" s="87"/>
      <c r="N386" s="3"/>
    </row>
    <row r="387">
      <c r="D387" s="85"/>
      <c r="E387" s="85"/>
      <c r="J387" s="86"/>
      <c r="K387" s="87"/>
      <c r="N387" s="3"/>
    </row>
    <row r="388">
      <c r="D388" s="85"/>
      <c r="E388" s="85"/>
      <c r="J388" s="86"/>
      <c r="K388" s="87"/>
      <c r="N388" s="3"/>
    </row>
    <row r="389">
      <c r="D389" s="85"/>
      <c r="E389" s="85"/>
      <c r="J389" s="86"/>
      <c r="K389" s="87"/>
      <c r="N389" s="3"/>
    </row>
    <row r="390">
      <c r="D390" s="85"/>
      <c r="E390" s="85"/>
      <c r="J390" s="86"/>
      <c r="K390" s="87"/>
      <c r="N390" s="3"/>
    </row>
    <row r="391">
      <c r="D391" s="85"/>
      <c r="E391" s="85"/>
      <c r="J391" s="86"/>
      <c r="K391" s="87"/>
      <c r="N391" s="3"/>
    </row>
    <row r="392">
      <c r="D392" s="85"/>
      <c r="E392" s="85"/>
      <c r="J392" s="86"/>
      <c r="K392" s="87"/>
      <c r="N392" s="3"/>
    </row>
    <row r="393">
      <c r="D393" s="85"/>
      <c r="E393" s="85"/>
      <c r="J393" s="86"/>
      <c r="K393" s="87"/>
      <c r="N393" s="3"/>
    </row>
    <row r="394">
      <c r="D394" s="85"/>
      <c r="E394" s="85"/>
      <c r="J394" s="86"/>
      <c r="K394" s="87"/>
      <c r="N394" s="3"/>
    </row>
    <row r="395">
      <c r="D395" s="85"/>
      <c r="E395" s="85"/>
      <c r="J395" s="86"/>
      <c r="K395" s="87"/>
      <c r="N395" s="3"/>
    </row>
    <row r="396">
      <c r="D396" s="85"/>
      <c r="E396" s="85"/>
      <c r="J396" s="86"/>
      <c r="K396" s="87"/>
      <c r="N396" s="3"/>
    </row>
    <row r="397">
      <c r="D397" s="85"/>
      <c r="E397" s="85"/>
      <c r="J397" s="86"/>
      <c r="K397" s="87"/>
      <c r="N397" s="3"/>
    </row>
    <row r="398">
      <c r="D398" s="85"/>
      <c r="E398" s="85"/>
      <c r="J398" s="86"/>
      <c r="K398" s="87"/>
      <c r="N398" s="3"/>
    </row>
    <row r="399">
      <c r="D399" s="85"/>
      <c r="E399" s="85"/>
      <c r="J399" s="86"/>
      <c r="K399" s="87"/>
      <c r="N399" s="3"/>
    </row>
    <row r="400">
      <c r="D400" s="85"/>
      <c r="E400" s="85"/>
      <c r="J400" s="86"/>
      <c r="K400" s="87"/>
      <c r="N400" s="3"/>
    </row>
    <row r="401">
      <c r="D401" s="85"/>
      <c r="E401" s="85"/>
      <c r="J401" s="86"/>
      <c r="K401" s="87"/>
      <c r="N401" s="3"/>
    </row>
    <row r="402">
      <c r="D402" s="85"/>
      <c r="E402" s="85"/>
      <c r="J402" s="86"/>
      <c r="K402" s="87"/>
      <c r="N402" s="3"/>
    </row>
    <row r="403">
      <c r="D403" s="85"/>
      <c r="E403" s="85"/>
      <c r="J403" s="86"/>
      <c r="K403" s="87"/>
      <c r="N403" s="3"/>
    </row>
    <row r="404">
      <c r="D404" s="85"/>
      <c r="E404" s="85"/>
      <c r="J404" s="86"/>
      <c r="K404" s="87"/>
      <c r="N404" s="3"/>
    </row>
    <row r="405">
      <c r="D405" s="85"/>
      <c r="E405" s="85"/>
      <c r="J405" s="86"/>
      <c r="K405" s="87"/>
      <c r="N405" s="3"/>
    </row>
    <row r="406">
      <c r="D406" s="85"/>
      <c r="E406" s="85"/>
      <c r="J406" s="86"/>
      <c r="K406" s="87"/>
      <c r="N406" s="3"/>
    </row>
    <row r="407">
      <c r="D407" s="85"/>
      <c r="E407" s="85"/>
      <c r="J407" s="86"/>
      <c r="K407" s="87"/>
      <c r="N407" s="3"/>
    </row>
    <row r="408">
      <c r="D408" s="85"/>
      <c r="E408" s="85"/>
      <c r="J408" s="86"/>
      <c r="K408" s="87"/>
      <c r="N408" s="3"/>
    </row>
    <row r="409">
      <c r="D409" s="85"/>
      <c r="E409" s="85"/>
      <c r="J409" s="86"/>
      <c r="K409" s="87"/>
      <c r="N409" s="3"/>
    </row>
    <row r="410">
      <c r="D410" s="85"/>
      <c r="E410" s="85"/>
      <c r="J410" s="86"/>
      <c r="K410" s="87"/>
      <c r="N410" s="3"/>
    </row>
    <row r="411">
      <c r="D411" s="85"/>
      <c r="E411" s="85"/>
      <c r="J411" s="86"/>
      <c r="K411" s="87"/>
      <c r="N411" s="3"/>
    </row>
    <row r="412">
      <c r="D412" s="85"/>
      <c r="E412" s="85"/>
      <c r="J412" s="86"/>
      <c r="K412" s="87"/>
      <c r="N412" s="3"/>
    </row>
    <row r="413">
      <c r="D413" s="85"/>
      <c r="E413" s="85"/>
      <c r="J413" s="86"/>
      <c r="K413" s="87"/>
      <c r="N413" s="3"/>
    </row>
    <row r="414">
      <c r="D414" s="85"/>
      <c r="E414" s="85"/>
      <c r="J414" s="86"/>
      <c r="K414" s="87"/>
      <c r="N414" s="3"/>
    </row>
    <row r="415">
      <c r="D415" s="85"/>
      <c r="E415" s="85"/>
      <c r="J415" s="86"/>
      <c r="K415" s="87"/>
      <c r="N415" s="3"/>
    </row>
    <row r="416">
      <c r="D416" s="85"/>
      <c r="E416" s="85"/>
      <c r="J416" s="86"/>
      <c r="K416" s="87"/>
      <c r="N416" s="3"/>
    </row>
    <row r="417">
      <c r="D417" s="85"/>
      <c r="E417" s="85"/>
      <c r="J417" s="86"/>
      <c r="K417" s="87"/>
      <c r="N417" s="3"/>
    </row>
    <row r="418">
      <c r="D418" s="85"/>
      <c r="E418" s="85"/>
      <c r="J418" s="86"/>
      <c r="K418" s="87"/>
      <c r="N418" s="3"/>
    </row>
    <row r="419">
      <c r="D419" s="85"/>
      <c r="E419" s="85"/>
      <c r="J419" s="86"/>
      <c r="K419" s="87"/>
      <c r="N419" s="3"/>
    </row>
    <row r="420">
      <c r="D420" s="85"/>
      <c r="E420" s="85"/>
      <c r="J420" s="86"/>
      <c r="K420" s="87"/>
      <c r="N420" s="3"/>
    </row>
    <row r="421">
      <c r="D421" s="85"/>
      <c r="E421" s="85"/>
      <c r="J421" s="86"/>
      <c r="K421" s="87"/>
      <c r="N421" s="3"/>
    </row>
    <row r="422">
      <c r="D422" s="85"/>
      <c r="E422" s="85"/>
      <c r="J422" s="86"/>
      <c r="K422" s="87"/>
      <c r="N422" s="3"/>
    </row>
    <row r="423">
      <c r="D423" s="85"/>
      <c r="E423" s="85"/>
      <c r="J423" s="86"/>
      <c r="K423" s="87"/>
      <c r="N423" s="3"/>
    </row>
    <row r="424">
      <c r="D424" s="85"/>
      <c r="E424" s="85"/>
      <c r="J424" s="86"/>
      <c r="K424" s="87"/>
      <c r="N424" s="3"/>
    </row>
    <row r="425">
      <c r="D425" s="85"/>
      <c r="E425" s="85"/>
      <c r="J425" s="86"/>
      <c r="K425" s="87"/>
      <c r="N425" s="3"/>
    </row>
    <row r="426">
      <c r="D426" s="85"/>
      <c r="E426" s="85"/>
      <c r="J426" s="86"/>
      <c r="K426" s="87"/>
      <c r="N426" s="3"/>
    </row>
    <row r="427">
      <c r="D427" s="85"/>
      <c r="E427" s="85"/>
      <c r="J427" s="86"/>
      <c r="K427" s="87"/>
      <c r="N427" s="3"/>
    </row>
    <row r="428">
      <c r="D428" s="85"/>
      <c r="E428" s="85"/>
      <c r="J428" s="86"/>
      <c r="K428" s="87"/>
      <c r="N428" s="3"/>
    </row>
    <row r="429">
      <c r="D429" s="85"/>
      <c r="E429" s="85"/>
      <c r="J429" s="86"/>
      <c r="K429" s="87"/>
      <c r="N429" s="3"/>
    </row>
    <row r="430">
      <c r="D430" s="85"/>
      <c r="E430" s="85"/>
      <c r="J430" s="86"/>
      <c r="K430" s="87"/>
      <c r="N430" s="3"/>
    </row>
    <row r="431">
      <c r="D431" s="85"/>
      <c r="E431" s="85"/>
      <c r="J431" s="86"/>
      <c r="K431" s="87"/>
      <c r="N431" s="3"/>
    </row>
    <row r="432">
      <c r="D432" s="85"/>
      <c r="E432" s="85"/>
      <c r="J432" s="86"/>
      <c r="K432" s="87"/>
      <c r="N432" s="3"/>
    </row>
    <row r="433">
      <c r="D433" s="85"/>
      <c r="E433" s="85"/>
      <c r="J433" s="86"/>
      <c r="K433" s="87"/>
      <c r="N433" s="3"/>
    </row>
    <row r="434">
      <c r="D434" s="85"/>
      <c r="E434" s="85"/>
      <c r="J434" s="86"/>
      <c r="K434" s="87"/>
      <c r="N434" s="3"/>
    </row>
    <row r="435">
      <c r="D435" s="85"/>
      <c r="E435" s="85"/>
      <c r="J435" s="86"/>
      <c r="K435" s="87"/>
      <c r="N435" s="3"/>
    </row>
    <row r="436">
      <c r="D436" s="85"/>
      <c r="E436" s="85"/>
      <c r="J436" s="86"/>
      <c r="K436" s="87"/>
      <c r="N436" s="3"/>
    </row>
    <row r="437">
      <c r="D437" s="85"/>
      <c r="E437" s="85"/>
      <c r="J437" s="86"/>
      <c r="K437" s="87"/>
      <c r="N437" s="3"/>
    </row>
    <row r="438">
      <c r="D438" s="85"/>
      <c r="E438" s="85"/>
      <c r="J438" s="86"/>
      <c r="K438" s="87"/>
      <c r="N438" s="3"/>
    </row>
    <row r="439">
      <c r="D439" s="85"/>
      <c r="E439" s="85"/>
      <c r="J439" s="86"/>
      <c r="K439" s="87"/>
      <c r="N439" s="3"/>
    </row>
    <row r="440">
      <c r="D440" s="85"/>
      <c r="E440" s="85"/>
      <c r="J440" s="86"/>
      <c r="K440" s="87"/>
      <c r="N440" s="3"/>
    </row>
    <row r="441">
      <c r="D441" s="85"/>
      <c r="E441" s="85"/>
      <c r="J441" s="86"/>
      <c r="K441" s="87"/>
      <c r="N441" s="3"/>
    </row>
    <row r="442">
      <c r="D442" s="85"/>
      <c r="E442" s="85"/>
      <c r="J442" s="86"/>
      <c r="K442" s="87"/>
      <c r="N442" s="3"/>
    </row>
    <row r="443">
      <c r="D443" s="85"/>
      <c r="E443" s="85"/>
      <c r="J443" s="86"/>
      <c r="K443" s="87"/>
      <c r="N443" s="3"/>
    </row>
    <row r="444">
      <c r="D444" s="85"/>
      <c r="E444" s="85"/>
      <c r="J444" s="86"/>
      <c r="K444" s="87"/>
      <c r="N444" s="3"/>
    </row>
    <row r="445">
      <c r="D445" s="85"/>
      <c r="E445" s="85"/>
      <c r="J445" s="86"/>
      <c r="K445" s="87"/>
      <c r="N445" s="3"/>
    </row>
    <row r="446">
      <c r="D446" s="85"/>
      <c r="E446" s="85"/>
      <c r="J446" s="86"/>
      <c r="K446" s="87"/>
      <c r="N446" s="3"/>
    </row>
    <row r="447">
      <c r="D447" s="85"/>
      <c r="E447" s="85"/>
      <c r="J447" s="86"/>
      <c r="K447" s="87"/>
      <c r="N447" s="3"/>
    </row>
    <row r="448">
      <c r="D448" s="85"/>
      <c r="E448" s="85"/>
      <c r="J448" s="86"/>
      <c r="K448" s="87"/>
      <c r="N448" s="3"/>
    </row>
    <row r="449">
      <c r="D449" s="85"/>
      <c r="E449" s="85"/>
      <c r="J449" s="86"/>
      <c r="K449" s="87"/>
      <c r="N449" s="3"/>
    </row>
    <row r="450">
      <c r="D450" s="85"/>
      <c r="E450" s="85"/>
      <c r="J450" s="86"/>
      <c r="K450" s="87"/>
      <c r="N450" s="3"/>
    </row>
    <row r="451">
      <c r="D451" s="85"/>
      <c r="E451" s="85"/>
      <c r="J451" s="86"/>
      <c r="K451" s="87"/>
      <c r="N451" s="3"/>
    </row>
    <row r="452">
      <c r="D452" s="85"/>
      <c r="E452" s="85"/>
      <c r="J452" s="86"/>
      <c r="K452" s="87"/>
      <c r="N452" s="3"/>
    </row>
    <row r="453">
      <c r="D453" s="85"/>
      <c r="E453" s="85"/>
      <c r="J453" s="86"/>
      <c r="K453" s="87"/>
      <c r="N453" s="3"/>
    </row>
    <row r="454">
      <c r="D454" s="85"/>
      <c r="E454" s="85"/>
      <c r="J454" s="86"/>
      <c r="K454" s="87"/>
      <c r="N454" s="3"/>
    </row>
    <row r="455">
      <c r="D455" s="85"/>
      <c r="E455" s="85"/>
      <c r="J455" s="86"/>
      <c r="K455" s="87"/>
      <c r="N455" s="3"/>
    </row>
    <row r="456">
      <c r="D456" s="85"/>
      <c r="E456" s="85"/>
      <c r="J456" s="86"/>
      <c r="K456" s="87"/>
      <c r="N456" s="3"/>
    </row>
    <row r="457">
      <c r="D457" s="85"/>
      <c r="E457" s="85"/>
      <c r="J457" s="86"/>
      <c r="K457" s="87"/>
      <c r="N457" s="3"/>
    </row>
    <row r="458">
      <c r="D458" s="85"/>
      <c r="E458" s="85"/>
      <c r="J458" s="86"/>
      <c r="K458" s="87"/>
      <c r="N458" s="3"/>
    </row>
    <row r="459">
      <c r="D459" s="85"/>
      <c r="E459" s="85"/>
      <c r="J459" s="86"/>
      <c r="K459" s="87"/>
      <c r="N459" s="3"/>
    </row>
    <row r="460">
      <c r="D460" s="85"/>
      <c r="E460" s="85"/>
      <c r="J460" s="86"/>
      <c r="K460" s="87"/>
      <c r="N460" s="3"/>
    </row>
    <row r="461">
      <c r="D461" s="85"/>
      <c r="E461" s="85"/>
      <c r="J461" s="86"/>
      <c r="K461" s="87"/>
      <c r="N461" s="3"/>
    </row>
    <row r="462">
      <c r="D462" s="85"/>
      <c r="E462" s="85"/>
      <c r="J462" s="86"/>
      <c r="K462" s="87"/>
      <c r="N462" s="3"/>
    </row>
    <row r="463">
      <c r="D463" s="85"/>
      <c r="E463" s="85"/>
      <c r="J463" s="86"/>
      <c r="K463" s="87"/>
      <c r="N463" s="3"/>
    </row>
    <row r="464">
      <c r="D464" s="85"/>
      <c r="E464" s="85"/>
      <c r="J464" s="86"/>
      <c r="K464" s="87"/>
      <c r="N464" s="3"/>
    </row>
    <row r="465">
      <c r="D465" s="85"/>
      <c r="E465" s="85"/>
      <c r="J465" s="86"/>
      <c r="K465" s="87"/>
      <c r="N465" s="3"/>
    </row>
    <row r="466">
      <c r="D466" s="85"/>
      <c r="E466" s="85"/>
      <c r="J466" s="86"/>
      <c r="K466" s="87"/>
      <c r="N466" s="3"/>
    </row>
    <row r="467">
      <c r="D467" s="85"/>
      <c r="E467" s="85"/>
      <c r="J467" s="86"/>
      <c r="K467" s="87"/>
      <c r="N467" s="3"/>
    </row>
    <row r="468">
      <c r="D468" s="85"/>
      <c r="E468" s="85"/>
      <c r="J468" s="86"/>
      <c r="K468" s="87"/>
      <c r="N468" s="3"/>
    </row>
    <row r="469">
      <c r="D469" s="85"/>
      <c r="E469" s="85"/>
      <c r="J469" s="86"/>
      <c r="K469" s="87"/>
      <c r="N469" s="3"/>
    </row>
    <row r="470">
      <c r="D470" s="85"/>
      <c r="E470" s="85"/>
      <c r="J470" s="86"/>
      <c r="K470" s="87"/>
      <c r="N470" s="3"/>
    </row>
    <row r="471">
      <c r="D471" s="85"/>
      <c r="E471" s="85"/>
      <c r="J471" s="86"/>
      <c r="K471" s="87"/>
      <c r="N471" s="3"/>
    </row>
    <row r="472">
      <c r="D472" s="85"/>
      <c r="E472" s="85"/>
      <c r="J472" s="86"/>
      <c r="K472" s="87"/>
      <c r="N472" s="3"/>
    </row>
    <row r="473">
      <c r="D473" s="85"/>
      <c r="E473" s="85"/>
      <c r="J473" s="86"/>
      <c r="K473" s="87"/>
      <c r="N473" s="3"/>
    </row>
    <row r="474">
      <c r="D474" s="85"/>
      <c r="E474" s="85"/>
      <c r="J474" s="86"/>
      <c r="K474" s="87"/>
      <c r="N474" s="3"/>
    </row>
    <row r="475">
      <c r="D475" s="85"/>
      <c r="E475" s="85"/>
      <c r="J475" s="86"/>
      <c r="K475" s="87"/>
      <c r="N475" s="3"/>
    </row>
    <row r="476">
      <c r="D476" s="85"/>
      <c r="E476" s="85"/>
      <c r="J476" s="86"/>
      <c r="K476" s="87"/>
      <c r="N476" s="3"/>
    </row>
    <row r="477">
      <c r="D477" s="85"/>
      <c r="E477" s="85"/>
      <c r="J477" s="86"/>
      <c r="K477" s="87"/>
      <c r="N477" s="3"/>
    </row>
    <row r="478">
      <c r="D478" s="85"/>
      <c r="E478" s="85"/>
      <c r="J478" s="86"/>
      <c r="K478" s="87"/>
      <c r="N478" s="3"/>
    </row>
    <row r="479">
      <c r="D479" s="85"/>
      <c r="E479" s="85"/>
      <c r="J479" s="86"/>
      <c r="K479" s="87"/>
      <c r="N479" s="3"/>
    </row>
    <row r="480">
      <c r="D480" s="85"/>
      <c r="E480" s="85"/>
      <c r="J480" s="86"/>
      <c r="K480" s="87"/>
      <c r="N480" s="3"/>
    </row>
    <row r="481">
      <c r="D481" s="85"/>
      <c r="E481" s="85"/>
      <c r="J481" s="86"/>
      <c r="K481" s="87"/>
      <c r="N481" s="3"/>
    </row>
    <row r="482">
      <c r="D482" s="85"/>
      <c r="E482" s="85"/>
      <c r="J482" s="86"/>
      <c r="K482" s="87"/>
      <c r="N482" s="3"/>
    </row>
    <row r="483">
      <c r="D483" s="85"/>
      <c r="E483" s="85"/>
      <c r="J483" s="86"/>
      <c r="K483" s="87"/>
      <c r="N483" s="3"/>
    </row>
    <row r="484">
      <c r="D484" s="85"/>
      <c r="E484" s="85"/>
      <c r="J484" s="86"/>
      <c r="K484" s="87"/>
      <c r="N484" s="3"/>
    </row>
    <row r="485">
      <c r="D485" s="85"/>
      <c r="E485" s="85"/>
      <c r="J485" s="86"/>
      <c r="K485" s="87"/>
      <c r="N485" s="3"/>
    </row>
    <row r="486">
      <c r="D486" s="85"/>
      <c r="E486" s="85"/>
      <c r="J486" s="86"/>
      <c r="K486" s="87"/>
      <c r="N486" s="3"/>
    </row>
    <row r="487">
      <c r="D487" s="85"/>
      <c r="E487" s="85"/>
      <c r="J487" s="86"/>
      <c r="K487" s="87"/>
      <c r="N487" s="3"/>
    </row>
    <row r="488">
      <c r="D488" s="85"/>
      <c r="E488" s="85"/>
      <c r="J488" s="86"/>
      <c r="K488" s="87"/>
      <c r="N488" s="3"/>
    </row>
    <row r="489">
      <c r="D489" s="85"/>
      <c r="E489" s="85"/>
      <c r="J489" s="86"/>
      <c r="K489" s="87"/>
      <c r="N489" s="3"/>
    </row>
    <row r="490">
      <c r="D490" s="85"/>
      <c r="E490" s="85"/>
      <c r="J490" s="86"/>
      <c r="K490" s="87"/>
      <c r="N490" s="3"/>
    </row>
    <row r="491">
      <c r="D491" s="85"/>
      <c r="E491" s="85"/>
      <c r="J491" s="86"/>
      <c r="K491" s="87"/>
      <c r="N491" s="3"/>
    </row>
    <row r="492">
      <c r="D492" s="85"/>
      <c r="E492" s="85"/>
      <c r="J492" s="86"/>
      <c r="K492" s="87"/>
      <c r="N492" s="3"/>
    </row>
    <row r="493">
      <c r="D493" s="85"/>
      <c r="E493" s="85"/>
      <c r="J493" s="86"/>
      <c r="K493" s="87"/>
      <c r="N493" s="3"/>
    </row>
    <row r="494">
      <c r="D494" s="85"/>
      <c r="E494" s="85"/>
      <c r="J494" s="86"/>
      <c r="K494" s="87"/>
      <c r="N494" s="3"/>
    </row>
    <row r="495">
      <c r="D495" s="85"/>
      <c r="E495" s="85"/>
      <c r="J495" s="86"/>
      <c r="K495" s="87"/>
      <c r="N495" s="3"/>
    </row>
    <row r="496">
      <c r="D496" s="85"/>
      <c r="E496" s="85"/>
      <c r="J496" s="86"/>
      <c r="K496" s="87"/>
      <c r="N496" s="3"/>
    </row>
    <row r="497">
      <c r="D497" s="85"/>
      <c r="E497" s="85"/>
      <c r="J497" s="86"/>
      <c r="K497" s="87"/>
      <c r="N497" s="3"/>
    </row>
    <row r="498">
      <c r="D498" s="85"/>
      <c r="E498" s="85"/>
      <c r="J498" s="86"/>
      <c r="K498" s="87"/>
      <c r="N498" s="3"/>
    </row>
    <row r="499">
      <c r="D499" s="85"/>
      <c r="E499" s="85"/>
      <c r="J499" s="86"/>
      <c r="K499" s="87"/>
      <c r="N499" s="3"/>
    </row>
    <row r="500">
      <c r="D500" s="85"/>
      <c r="E500" s="85"/>
      <c r="J500" s="86"/>
      <c r="K500" s="87"/>
      <c r="N500" s="3"/>
    </row>
    <row r="501">
      <c r="D501" s="85"/>
      <c r="E501" s="85"/>
      <c r="J501" s="86"/>
      <c r="K501" s="87"/>
      <c r="N501" s="3"/>
    </row>
    <row r="502">
      <c r="D502" s="85"/>
      <c r="E502" s="85"/>
      <c r="J502" s="86"/>
      <c r="K502" s="87"/>
      <c r="N502" s="3"/>
    </row>
    <row r="503">
      <c r="D503" s="85"/>
      <c r="E503" s="85"/>
      <c r="J503" s="86"/>
      <c r="K503" s="87"/>
      <c r="N503" s="3"/>
    </row>
    <row r="504">
      <c r="D504" s="85"/>
      <c r="E504" s="85"/>
      <c r="J504" s="86"/>
      <c r="K504" s="87"/>
      <c r="N504" s="3"/>
    </row>
    <row r="505">
      <c r="D505" s="85"/>
      <c r="E505" s="85"/>
      <c r="J505" s="86"/>
      <c r="K505" s="87"/>
      <c r="N505" s="3"/>
    </row>
    <row r="506">
      <c r="D506" s="85"/>
      <c r="E506" s="85"/>
      <c r="J506" s="86"/>
      <c r="K506" s="87"/>
      <c r="N506" s="3"/>
    </row>
    <row r="507">
      <c r="D507" s="85"/>
      <c r="E507" s="85"/>
      <c r="J507" s="86"/>
      <c r="K507" s="87"/>
      <c r="N507" s="3"/>
    </row>
    <row r="508">
      <c r="D508" s="85"/>
      <c r="E508" s="85"/>
      <c r="J508" s="86"/>
      <c r="K508" s="87"/>
      <c r="N508" s="3"/>
    </row>
    <row r="509">
      <c r="D509" s="85"/>
      <c r="E509" s="85"/>
      <c r="J509" s="86"/>
      <c r="K509" s="87"/>
      <c r="N509" s="3"/>
    </row>
    <row r="510">
      <c r="D510" s="85"/>
      <c r="E510" s="85"/>
      <c r="J510" s="86"/>
      <c r="K510" s="87"/>
      <c r="N510" s="3"/>
    </row>
    <row r="511">
      <c r="D511" s="85"/>
      <c r="E511" s="85"/>
      <c r="J511" s="86"/>
      <c r="K511" s="87"/>
      <c r="N511" s="3"/>
    </row>
    <row r="512">
      <c r="D512" s="85"/>
      <c r="E512" s="85"/>
      <c r="J512" s="86"/>
      <c r="K512" s="87"/>
      <c r="N512" s="3"/>
    </row>
    <row r="513">
      <c r="D513" s="85"/>
      <c r="E513" s="85"/>
      <c r="J513" s="86"/>
      <c r="K513" s="87"/>
      <c r="N513" s="3"/>
    </row>
    <row r="514">
      <c r="D514" s="85"/>
      <c r="E514" s="85"/>
      <c r="J514" s="86"/>
      <c r="K514" s="87"/>
      <c r="N514" s="3"/>
    </row>
    <row r="515">
      <c r="D515" s="85"/>
      <c r="E515" s="85"/>
      <c r="J515" s="86"/>
      <c r="K515" s="87"/>
      <c r="N515" s="3"/>
    </row>
    <row r="516">
      <c r="D516" s="85"/>
      <c r="E516" s="85"/>
      <c r="J516" s="86"/>
      <c r="K516" s="87"/>
      <c r="N516" s="3"/>
    </row>
    <row r="517">
      <c r="D517" s="85"/>
      <c r="E517" s="85"/>
      <c r="J517" s="86"/>
      <c r="K517" s="87"/>
      <c r="N517" s="3"/>
    </row>
    <row r="518">
      <c r="D518" s="85"/>
      <c r="E518" s="85"/>
      <c r="J518" s="86"/>
      <c r="K518" s="87"/>
      <c r="N518" s="3"/>
    </row>
    <row r="519">
      <c r="D519" s="85"/>
      <c r="E519" s="85"/>
      <c r="J519" s="86"/>
      <c r="K519" s="87"/>
      <c r="N519" s="3"/>
    </row>
    <row r="520">
      <c r="D520" s="85"/>
      <c r="E520" s="85"/>
      <c r="J520" s="86"/>
      <c r="K520" s="87"/>
      <c r="N520" s="3"/>
    </row>
    <row r="521">
      <c r="D521" s="85"/>
      <c r="E521" s="85"/>
      <c r="J521" s="86"/>
      <c r="K521" s="87"/>
      <c r="N521" s="3"/>
    </row>
    <row r="522">
      <c r="D522" s="85"/>
      <c r="E522" s="85"/>
      <c r="J522" s="86"/>
      <c r="K522" s="87"/>
      <c r="N522" s="3"/>
    </row>
    <row r="523">
      <c r="D523" s="85"/>
      <c r="E523" s="85"/>
      <c r="J523" s="86"/>
      <c r="K523" s="87"/>
      <c r="N523" s="3"/>
    </row>
    <row r="524">
      <c r="D524" s="85"/>
      <c r="E524" s="85"/>
      <c r="J524" s="86"/>
      <c r="K524" s="87"/>
      <c r="N524" s="3"/>
    </row>
    <row r="525">
      <c r="D525" s="85"/>
      <c r="E525" s="85"/>
      <c r="J525" s="86"/>
      <c r="K525" s="87"/>
      <c r="N525" s="3"/>
    </row>
    <row r="526">
      <c r="D526" s="85"/>
      <c r="E526" s="85"/>
      <c r="J526" s="86"/>
      <c r="K526" s="87"/>
      <c r="N526" s="3"/>
    </row>
    <row r="527">
      <c r="D527" s="85"/>
      <c r="E527" s="85"/>
      <c r="J527" s="86"/>
      <c r="K527" s="87"/>
      <c r="N527" s="3"/>
    </row>
    <row r="528">
      <c r="D528" s="85"/>
      <c r="E528" s="85"/>
      <c r="J528" s="86"/>
      <c r="K528" s="87"/>
      <c r="N528" s="3"/>
    </row>
    <row r="529">
      <c r="D529" s="85"/>
      <c r="E529" s="85"/>
      <c r="J529" s="86"/>
      <c r="K529" s="87"/>
      <c r="N529" s="3"/>
    </row>
    <row r="530">
      <c r="D530" s="85"/>
      <c r="E530" s="85"/>
      <c r="J530" s="86"/>
      <c r="K530" s="87"/>
      <c r="N530" s="3"/>
    </row>
    <row r="531">
      <c r="D531" s="85"/>
      <c r="E531" s="85"/>
      <c r="J531" s="86"/>
      <c r="K531" s="87"/>
      <c r="N531" s="3"/>
    </row>
    <row r="532">
      <c r="D532" s="85"/>
      <c r="E532" s="85"/>
      <c r="J532" s="86"/>
      <c r="K532" s="87"/>
      <c r="N532" s="3"/>
    </row>
    <row r="533">
      <c r="D533" s="85"/>
      <c r="E533" s="85"/>
      <c r="J533" s="86"/>
      <c r="K533" s="87"/>
      <c r="N533" s="3"/>
    </row>
    <row r="534">
      <c r="D534" s="85"/>
      <c r="E534" s="85"/>
      <c r="J534" s="86"/>
      <c r="K534" s="87"/>
      <c r="N534" s="3"/>
    </row>
    <row r="535">
      <c r="D535" s="85"/>
      <c r="E535" s="85"/>
      <c r="J535" s="86"/>
      <c r="K535" s="87"/>
      <c r="N535" s="3"/>
    </row>
    <row r="536">
      <c r="D536" s="85"/>
      <c r="E536" s="85"/>
      <c r="J536" s="86"/>
      <c r="K536" s="87"/>
      <c r="N536" s="3"/>
    </row>
    <row r="537">
      <c r="D537" s="85"/>
      <c r="E537" s="85"/>
      <c r="J537" s="86"/>
      <c r="K537" s="87"/>
      <c r="N537" s="3"/>
    </row>
    <row r="538">
      <c r="D538" s="85"/>
      <c r="E538" s="85"/>
      <c r="J538" s="86"/>
      <c r="K538" s="87"/>
      <c r="N538" s="3"/>
    </row>
    <row r="539">
      <c r="D539" s="85"/>
      <c r="E539" s="85"/>
      <c r="J539" s="86"/>
      <c r="K539" s="87"/>
      <c r="N539" s="3"/>
    </row>
    <row r="540">
      <c r="D540" s="85"/>
      <c r="E540" s="85"/>
      <c r="J540" s="86"/>
      <c r="K540" s="87"/>
      <c r="N540" s="3"/>
    </row>
    <row r="541">
      <c r="D541" s="85"/>
      <c r="E541" s="85"/>
      <c r="J541" s="86"/>
      <c r="K541" s="87"/>
      <c r="N541" s="3"/>
    </row>
    <row r="542">
      <c r="D542" s="85"/>
      <c r="E542" s="85"/>
      <c r="J542" s="86"/>
      <c r="K542" s="87"/>
      <c r="N542" s="3"/>
    </row>
    <row r="543">
      <c r="D543" s="85"/>
      <c r="E543" s="85"/>
      <c r="J543" s="86"/>
      <c r="K543" s="87"/>
      <c r="N543" s="3"/>
    </row>
    <row r="544">
      <c r="D544" s="85"/>
      <c r="E544" s="85"/>
      <c r="J544" s="86"/>
      <c r="K544" s="87"/>
      <c r="N544" s="3"/>
    </row>
    <row r="545">
      <c r="D545" s="85"/>
      <c r="E545" s="85"/>
      <c r="J545" s="86"/>
      <c r="K545" s="87"/>
      <c r="N545" s="3"/>
    </row>
    <row r="546">
      <c r="D546" s="85"/>
      <c r="E546" s="85"/>
      <c r="J546" s="86"/>
      <c r="K546" s="87"/>
      <c r="N546" s="3"/>
    </row>
    <row r="547">
      <c r="D547" s="85"/>
      <c r="E547" s="85"/>
      <c r="J547" s="86"/>
      <c r="K547" s="87"/>
      <c r="N547" s="3"/>
    </row>
    <row r="548">
      <c r="D548" s="85"/>
      <c r="E548" s="85"/>
      <c r="J548" s="86"/>
      <c r="K548" s="87"/>
      <c r="N548" s="3"/>
    </row>
    <row r="549">
      <c r="D549" s="85"/>
      <c r="E549" s="85"/>
      <c r="J549" s="86"/>
      <c r="K549" s="87"/>
      <c r="N549" s="3"/>
    </row>
    <row r="550">
      <c r="D550" s="85"/>
      <c r="E550" s="85"/>
      <c r="J550" s="86"/>
      <c r="K550" s="87"/>
      <c r="N550" s="3"/>
    </row>
    <row r="551">
      <c r="D551" s="85"/>
      <c r="E551" s="85"/>
      <c r="J551" s="86"/>
      <c r="K551" s="87"/>
      <c r="N551" s="3"/>
    </row>
    <row r="552">
      <c r="D552" s="85"/>
      <c r="E552" s="85"/>
      <c r="J552" s="86"/>
      <c r="K552" s="87"/>
      <c r="N552" s="3"/>
    </row>
    <row r="553">
      <c r="D553" s="85"/>
      <c r="E553" s="85"/>
      <c r="J553" s="86"/>
      <c r="K553" s="87"/>
      <c r="N553" s="3"/>
    </row>
    <row r="554">
      <c r="D554" s="85"/>
      <c r="E554" s="85"/>
      <c r="J554" s="86"/>
      <c r="K554" s="87"/>
      <c r="N554" s="3"/>
    </row>
    <row r="555">
      <c r="D555" s="85"/>
      <c r="E555" s="85"/>
      <c r="J555" s="86"/>
      <c r="K555" s="87"/>
      <c r="N555" s="3"/>
    </row>
    <row r="556">
      <c r="D556" s="85"/>
      <c r="E556" s="85"/>
      <c r="J556" s="86"/>
      <c r="K556" s="87"/>
      <c r="N556" s="3"/>
    </row>
    <row r="557">
      <c r="D557" s="85"/>
      <c r="E557" s="85"/>
      <c r="J557" s="86"/>
      <c r="K557" s="87"/>
      <c r="N557" s="3"/>
    </row>
    <row r="558">
      <c r="D558" s="85"/>
      <c r="E558" s="85"/>
      <c r="J558" s="86"/>
      <c r="K558" s="87"/>
      <c r="N558" s="3"/>
    </row>
    <row r="559">
      <c r="D559" s="85"/>
      <c r="E559" s="85"/>
      <c r="J559" s="86"/>
      <c r="K559" s="87"/>
      <c r="N559" s="3"/>
    </row>
    <row r="560">
      <c r="D560" s="85"/>
      <c r="E560" s="85"/>
      <c r="J560" s="86"/>
      <c r="K560" s="87"/>
      <c r="N560" s="3"/>
    </row>
    <row r="561">
      <c r="D561" s="85"/>
      <c r="E561" s="85"/>
      <c r="J561" s="86"/>
      <c r="K561" s="87"/>
      <c r="N561" s="3"/>
    </row>
    <row r="562">
      <c r="D562" s="85"/>
      <c r="E562" s="85"/>
      <c r="J562" s="86"/>
      <c r="K562" s="87"/>
      <c r="N562" s="3"/>
    </row>
    <row r="563">
      <c r="D563" s="85"/>
      <c r="E563" s="85"/>
      <c r="J563" s="86"/>
      <c r="K563" s="87"/>
      <c r="N563" s="3"/>
    </row>
    <row r="564">
      <c r="D564" s="85"/>
      <c r="E564" s="85"/>
      <c r="J564" s="86"/>
      <c r="K564" s="87"/>
      <c r="N564" s="3"/>
    </row>
    <row r="565">
      <c r="D565" s="85"/>
      <c r="E565" s="85"/>
      <c r="J565" s="86"/>
      <c r="K565" s="87"/>
      <c r="N565" s="3"/>
    </row>
    <row r="566">
      <c r="D566" s="85"/>
      <c r="E566" s="85"/>
      <c r="J566" s="86"/>
      <c r="K566" s="87"/>
      <c r="N566" s="3"/>
    </row>
    <row r="567">
      <c r="D567" s="85"/>
      <c r="E567" s="85"/>
      <c r="J567" s="86"/>
      <c r="K567" s="87"/>
      <c r="N567" s="3"/>
    </row>
    <row r="568">
      <c r="D568" s="85"/>
      <c r="E568" s="85"/>
      <c r="J568" s="86"/>
      <c r="K568" s="87"/>
      <c r="N568" s="3"/>
    </row>
    <row r="569">
      <c r="D569" s="85"/>
      <c r="E569" s="85"/>
      <c r="J569" s="86"/>
      <c r="K569" s="87"/>
      <c r="N569" s="3"/>
    </row>
    <row r="570">
      <c r="D570" s="85"/>
      <c r="E570" s="85"/>
      <c r="J570" s="86"/>
      <c r="K570" s="87"/>
      <c r="N570" s="3"/>
    </row>
    <row r="571">
      <c r="D571" s="85"/>
      <c r="E571" s="85"/>
      <c r="J571" s="86"/>
      <c r="K571" s="87"/>
      <c r="N571" s="3"/>
    </row>
    <row r="572">
      <c r="D572" s="85"/>
      <c r="E572" s="85"/>
      <c r="J572" s="86"/>
      <c r="K572" s="87"/>
      <c r="N572" s="3"/>
    </row>
    <row r="573">
      <c r="D573" s="85"/>
      <c r="E573" s="85"/>
      <c r="J573" s="86"/>
      <c r="K573" s="87"/>
      <c r="N573" s="3"/>
    </row>
    <row r="574">
      <c r="D574" s="85"/>
      <c r="E574" s="85"/>
      <c r="J574" s="86"/>
      <c r="K574" s="87"/>
      <c r="N574" s="3"/>
    </row>
    <row r="575">
      <c r="D575" s="85"/>
      <c r="E575" s="85"/>
      <c r="J575" s="86"/>
      <c r="K575" s="87"/>
      <c r="N575" s="3"/>
    </row>
    <row r="576">
      <c r="D576" s="85"/>
      <c r="E576" s="85"/>
      <c r="J576" s="86"/>
      <c r="K576" s="87"/>
      <c r="N576" s="3"/>
    </row>
    <row r="577">
      <c r="D577" s="85"/>
      <c r="E577" s="85"/>
      <c r="J577" s="86"/>
      <c r="K577" s="87"/>
      <c r="N577" s="3"/>
    </row>
    <row r="578">
      <c r="D578" s="85"/>
      <c r="E578" s="85"/>
      <c r="J578" s="86"/>
      <c r="K578" s="87"/>
      <c r="N578" s="3"/>
    </row>
    <row r="579">
      <c r="D579" s="85"/>
      <c r="E579" s="85"/>
      <c r="J579" s="86"/>
      <c r="K579" s="87"/>
      <c r="N579" s="3"/>
    </row>
    <row r="580">
      <c r="D580" s="85"/>
      <c r="E580" s="85"/>
      <c r="J580" s="86"/>
      <c r="K580" s="87"/>
      <c r="N580" s="3"/>
    </row>
    <row r="581">
      <c r="D581" s="85"/>
      <c r="E581" s="85"/>
      <c r="J581" s="86"/>
      <c r="K581" s="87"/>
      <c r="N581" s="3"/>
    </row>
    <row r="582">
      <c r="D582" s="85"/>
      <c r="E582" s="85"/>
      <c r="J582" s="86"/>
      <c r="K582" s="87"/>
      <c r="N582" s="3"/>
    </row>
    <row r="583">
      <c r="D583" s="85"/>
      <c r="E583" s="85"/>
      <c r="J583" s="86"/>
      <c r="K583" s="87"/>
      <c r="N583" s="3"/>
    </row>
    <row r="584">
      <c r="D584" s="85"/>
      <c r="E584" s="85"/>
      <c r="J584" s="86"/>
      <c r="K584" s="87"/>
      <c r="N584" s="3"/>
    </row>
    <row r="585">
      <c r="D585" s="85"/>
      <c r="E585" s="85"/>
      <c r="J585" s="86"/>
      <c r="K585" s="87"/>
      <c r="N585" s="3"/>
    </row>
    <row r="586">
      <c r="D586" s="85"/>
      <c r="E586" s="85"/>
      <c r="J586" s="86"/>
      <c r="K586" s="87"/>
      <c r="N586" s="3"/>
    </row>
    <row r="587">
      <c r="D587" s="85"/>
      <c r="E587" s="85"/>
      <c r="J587" s="86"/>
      <c r="K587" s="87"/>
      <c r="N587" s="3"/>
    </row>
    <row r="588">
      <c r="D588" s="85"/>
      <c r="E588" s="85"/>
      <c r="J588" s="86"/>
      <c r="K588" s="87"/>
      <c r="N588" s="3"/>
    </row>
    <row r="589">
      <c r="D589" s="85"/>
      <c r="E589" s="85"/>
      <c r="J589" s="86"/>
      <c r="K589" s="87"/>
      <c r="N589" s="3"/>
    </row>
    <row r="590">
      <c r="D590" s="85"/>
      <c r="E590" s="85"/>
      <c r="J590" s="86"/>
      <c r="K590" s="87"/>
      <c r="N590" s="3"/>
    </row>
    <row r="591">
      <c r="D591" s="85"/>
      <c r="E591" s="85"/>
      <c r="J591" s="86"/>
      <c r="K591" s="87"/>
      <c r="N591" s="3"/>
    </row>
    <row r="592">
      <c r="D592" s="85"/>
      <c r="E592" s="85"/>
      <c r="J592" s="86"/>
      <c r="K592" s="87"/>
      <c r="N592" s="3"/>
    </row>
    <row r="593">
      <c r="D593" s="85"/>
      <c r="E593" s="85"/>
      <c r="J593" s="86"/>
      <c r="K593" s="87"/>
      <c r="N593" s="3"/>
    </row>
    <row r="594">
      <c r="D594" s="85"/>
      <c r="E594" s="85"/>
      <c r="J594" s="86"/>
      <c r="K594" s="87"/>
      <c r="N594" s="3"/>
    </row>
    <row r="595">
      <c r="D595" s="85"/>
      <c r="E595" s="85"/>
      <c r="J595" s="86"/>
      <c r="K595" s="87"/>
      <c r="N595" s="3"/>
    </row>
    <row r="596">
      <c r="D596" s="85"/>
      <c r="E596" s="85"/>
      <c r="J596" s="86"/>
      <c r="K596" s="87"/>
      <c r="N596" s="3"/>
    </row>
    <row r="597">
      <c r="D597" s="85"/>
      <c r="E597" s="85"/>
      <c r="J597" s="86"/>
      <c r="K597" s="87"/>
      <c r="N597" s="3"/>
    </row>
    <row r="598">
      <c r="D598" s="85"/>
      <c r="E598" s="85"/>
      <c r="J598" s="86"/>
      <c r="K598" s="87"/>
      <c r="N598" s="3"/>
    </row>
    <row r="599">
      <c r="D599" s="85"/>
      <c r="E599" s="85"/>
      <c r="J599" s="86"/>
      <c r="K599" s="87"/>
      <c r="N599" s="3"/>
    </row>
    <row r="600">
      <c r="D600" s="85"/>
      <c r="E600" s="85"/>
      <c r="J600" s="86"/>
      <c r="K600" s="87"/>
      <c r="N600" s="3"/>
    </row>
    <row r="601">
      <c r="D601" s="85"/>
      <c r="E601" s="85"/>
      <c r="J601" s="86"/>
      <c r="K601" s="87"/>
      <c r="N601" s="3"/>
    </row>
    <row r="602">
      <c r="D602" s="85"/>
      <c r="E602" s="85"/>
      <c r="J602" s="86"/>
      <c r="K602" s="87"/>
      <c r="N602" s="3"/>
    </row>
    <row r="603">
      <c r="D603" s="85"/>
      <c r="E603" s="85"/>
      <c r="J603" s="86"/>
      <c r="K603" s="87"/>
      <c r="N603" s="3"/>
    </row>
    <row r="604">
      <c r="D604" s="85"/>
      <c r="E604" s="85"/>
      <c r="J604" s="86"/>
      <c r="K604" s="87"/>
      <c r="N604" s="3"/>
    </row>
    <row r="605">
      <c r="D605" s="85"/>
      <c r="E605" s="85"/>
      <c r="J605" s="86"/>
      <c r="K605" s="87"/>
      <c r="N605" s="3"/>
    </row>
    <row r="606">
      <c r="D606" s="85"/>
      <c r="E606" s="85"/>
      <c r="J606" s="86"/>
      <c r="K606" s="87"/>
      <c r="N606" s="3"/>
    </row>
    <row r="607">
      <c r="D607" s="85"/>
      <c r="E607" s="85"/>
      <c r="J607" s="86"/>
      <c r="K607" s="87"/>
      <c r="N607" s="3"/>
    </row>
    <row r="608">
      <c r="D608" s="85"/>
      <c r="E608" s="85"/>
      <c r="J608" s="86"/>
      <c r="K608" s="87"/>
      <c r="N608" s="3"/>
    </row>
    <row r="609">
      <c r="D609" s="85"/>
      <c r="E609" s="85"/>
      <c r="J609" s="86"/>
      <c r="K609" s="87"/>
      <c r="N609" s="3"/>
    </row>
    <row r="610">
      <c r="D610" s="85"/>
      <c r="E610" s="85"/>
      <c r="J610" s="86"/>
      <c r="K610" s="87"/>
      <c r="N610" s="3"/>
    </row>
    <row r="611">
      <c r="D611" s="85"/>
      <c r="E611" s="85"/>
      <c r="J611" s="86"/>
      <c r="K611" s="87"/>
      <c r="N611" s="3"/>
    </row>
    <row r="612">
      <c r="D612" s="85"/>
      <c r="E612" s="85"/>
      <c r="J612" s="86"/>
      <c r="K612" s="87"/>
      <c r="N612" s="3"/>
    </row>
    <row r="613">
      <c r="D613" s="85"/>
      <c r="E613" s="85"/>
      <c r="J613" s="86"/>
      <c r="K613" s="87"/>
      <c r="N613" s="3"/>
    </row>
    <row r="614">
      <c r="D614" s="85"/>
      <c r="E614" s="85"/>
      <c r="J614" s="86"/>
      <c r="K614" s="87"/>
      <c r="N614" s="3"/>
    </row>
    <row r="615">
      <c r="D615" s="85"/>
      <c r="E615" s="85"/>
      <c r="J615" s="86"/>
      <c r="K615" s="87"/>
      <c r="N615" s="3"/>
    </row>
    <row r="616">
      <c r="D616" s="85"/>
      <c r="E616" s="85"/>
      <c r="J616" s="86"/>
      <c r="K616" s="87"/>
      <c r="N616" s="3"/>
    </row>
    <row r="617">
      <c r="D617" s="85"/>
      <c r="E617" s="85"/>
      <c r="J617" s="86"/>
      <c r="K617" s="87"/>
      <c r="N617" s="3"/>
    </row>
    <row r="618">
      <c r="D618" s="85"/>
      <c r="E618" s="85"/>
      <c r="J618" s="86"/>
      <c r="K618" s="87"/>
      <c r="N618" s="3"/>
    </row>
    <row r="619">
      <c r="D619" s="85"/>
      <c r="E619" s="85"/>
      <c r="J619" s="86"/>
      <c r="K619" s="87"/>
      <c r="N619" s="3"/>
    </row>
    <row r="620">
      <c r="D620" s="85"/>
      <c r="E620" s="85"/>
      <c r="J620" s="86"/>
      <c r="K620" s="87"/>
      <c r="N620" s="3"/>
    </row>
    <row r="621">
      <c r="D621" s="85"/>
      <c r="E621" s="85"/>
      <c r="J621" s="86"/>
      <c r="K621" s="87"/>
      <c r="N621" s="3"/>
    </row>
    <row r="622">
      <c r="D622" s="85"/>
      <c r="E622" s="85"/>
      <c r="J622" s="86"/>
      <c r="K622" s="87"/>
      <c r="N622" s="3"/>
    </row>
    <row r="623">
      <c r="D623" s="85"/>
      <c r="E623" s="85"/>
      <c r="J623" s="86"/>
      <c r="K623" s="87"/>
      <c r="N623" s="3"/>
    </row>
    <row r="624">
      <c r="D624" s="85"/>
      <c r="E624" s="85"/>
      <c r="J624" s="86"/>
      <c r="K624" s="87"/>
      <c r="N624" s="3"/>
    </row>
    <row r="625">
      <c r="D625" s="85"/>
      <c r="E625" s="85"/>
      <c r="J625" s="86"/>
      <c r="K625" s="87"/>
      <c r="N625" s="3"/>
    </row>
    <row r="626">
      <c r="D626" s="85"/>
      <c r="E626" s="85"/>
      <c r="J626" s="86"/>
      <c r="K626" s="87"/>
      <c r="N626" s="3"/>
    </row>
    <row r="627">
      <c r="D627" s="85"/>
      <c r="E627" s="85"/>
      <c r="J627" s="86"/>
      <c r="K627" s="87"/>
      <c r="N627" s="3"/>
    </row>
    <row r="628">
      <c r="D628" s="85"/>
      <c r="E628" s="85"/>
      <c r="J628" s="86"/>
      <c r="K628" s="87"/>
      <c r="N628" s="3"/>
    </row>
    <row r="629">
      <c r="D629" s="85"/>
      <c r="E629" s="85"/>
      <c r="J629" s="86"/>
      <c r="K629" s="87"/>
      <c r="N629" s="3"/>
    </row>
    <row r="630">
      <c r="D630" s="85"/>
      <c r="E630" s="85"/>
      <c r="J630" s="86"/>
      <c r="K630" s="87"/>
      <c r="N630" s="3"/>
    </row>
    <row r="631">
      <c r="D631" s="85"/>
      <c r="E631" s="85"/>
      <c r="J631" s="86"/>
      <c r="K631" s="87"/>
      <c r="N631" s="3"/>
    </row>
    <row r="632">
      <c r="D632" s="85"/>
      <c r="E632" s="85"/>
      <c r="J632" s="86"/>
      <c r="K632" s="87"/>
      <c r="N632" s="3"/>
    </row>
    <row r="633">
      <c r="D633" s="85"/>
      <c r="E633" s="85"/>
      <c r="J633" s="86"/>
      <c r="K633" s="87"/>
      <c r="N633" s="3"/>
    </row>
    <row r="634">
      <c r="D634" s="85"/>
      <c r="E634" s="85"/>
      <c r="J634" s="86"/>
      <c r="K634" s="87"/>
      <c r="N634" s="3"/>
    </row>
    <row r="635">
      <c r="D635" s="85"/>
      <c r="E635" s="85"/>
      <c r="J635" s="86"/>
      <c r="K635" s="87"/>
      <c r="N635" s="3"/>
    </row>
    <row r="636">
      <c r="D636" s="85"/>
      <c r="E636" s="85"/>
      <c r="J636" s="86"/>
      <c r="K636" s="87"/>
      <c r="N636" s="3"/>
    </row>
    <row r="637">
      <c r="D637" s="85"/>
      <c r="E637" s="85"/>
      <c r="J637" s="86"/>
      <c r="K637" s="87"/>
      <c r="N637" s="3"/>
    </row>
    <row r="638">
      <c r="D638" s="85"/>
      <c r="E638" s="85"/>
      <c r="J638" s="86"/>
      <c r="K638" s="87"/>
      <c r="N638" s="3"/>
    </row>
    <row r="639">
      <c r="D639" s="85"/>
      <c r="E639" s="85"/>
      <c r="J639" s="86"/>
      <c r="K639" s="87"/>
      <c r="N639" s="3"/>
    </row>
    <row r="640">
      <c r="D640" s="85"/>
      <c r="E640" s="85"/>
      <c r="J640" s="86"/>
      <c r="K640" s="87"/>
      <c r="N640" s="3"/>
    </row>
    <row r="641">
      <c r="D641" s="85"/>
      <c r="E641" s="85"/>
      <c r="J641" s="86"/>
      <c r="K641" s="87"/>
      <c r="N641" s="3"/>
    </row>
    <row r="642">
      <c r="D642" s="85"/>
      <c r="E642" s="85"/>
      <c r="J642" s="86"/>
      <c r="K642" s="87"/>
      <c r="N642" s="3"/>
    </row>
    <row r="643">
      <c r="D643" s="85"/>
      <c r="E643" s="85"/>
      <c r="J643" s="86"/>
      <c r="K643" s="87"/>
      <c r="N643" s="3"/>
    </row>
    <row r="644">
      <c r="D644" s="85"/>
      <c r="E644" s="85"/>
      <c r="J644" s="86"/>
      <c r="K644" s="87"/>
      <c r="N644" s="3"/>
    </row>
    <row r="645">
      <c r="D645" s="85"/>
      <c r="E645" s="85"/>
      <c r="J645" s="86"/>
      <c r="K645" s="87"/>
      <c r="N645" s="3"/>
    </row>
    <row r="646">
      <c r="D646" s="85"/>
      <c r="E646" s="85"/>
      <c r="J646" s="86"/>
      <c r="K646" s="87"/>
      <c r="N646" s="3"/>
    </row>
    <row r="647">
      <c r="D647" s="85"/>
      <c r="E647" s="85"/>
      <c r="J647" s="86"/>
      <c r="K647" s="87"/>
      <c r="N647" s="3"/>
    </row>
    <row r="648">
      <c r="D648" s="85"/>
      <c r="E648" s="85"/>
      <c r="J648" s="86"/>
      <c r="K648" s="87"/>
      <c r="N648" s="3"/>
    </row>
    <row r="649">
      <c r="D649" s="85"/>
      <c r="E649" s="85"/>
      <c r="J649" s="86"/>
      <c r="K649" s="87"/>
      <c r="N649" s="3"/>
    </row>
    <row r="650">
      <c r="D650" s="85"/>
      <c r="E650" s="85"/>
      <c r="J650" s="86"/>
      <c r="K650" s="87"/>
      <c r="N650" s="3"/>
    </row>
    <row r="651">
      <c r="D651" s="85"/>
      <c r="E651" s="85"/>
      <c r="J651" s="86"/>
      <c r="K651" s="87"/>
      <c r="N651" s="3"/>
    </row>
    <row r="652">
      <c r="D652" s="85"/>
      <c r="E652" s="85"/>
      <c r="J652" s="86"/>
      <c r="K652" s="87"/>
      <c r="N652" s="3"/>
    </row>
    <row r="653">
      <c r="D653" s="85"/>
      <c r="E653" s="85"/>
      <c r="J653" s="86"/>
      <c r="K653" s="87"/>
      <c r="N653" s="3"/>
    </row>
    <row r="654">
      <c r="D654" s="85"/>
      <c r="E654" s="85"/>
      <c r="J654" s="86"/>
      <c r="K654" s="87"/>
      <c r="N654" s="3"/>
    </row>
    <row r="655">
      <c r="D655" s="85"/>
      <c r="E655" s="85"/>
      <c r="J655" s="86"/>
      <c r="K655" s="87"/>
      <c r="N655" s="3"/>
    </row>
    <row r="656">
      <c r="D656" s="85"/>
      <c r="E656" s="85"/>
      <c r="J656" s="86"/>
      <c r="K656" s="87"/>
      <c r="N656" s="3"/>
    </row>
    <row r="657">
      <c r="D657" s="85"/>
      <c r="E657" s="85"/>
      <c r="J657" s="86"/>
      <c r="K657" s="87"/>
      <c r="N657" s="3"/>
    </row>
    <row r="658">
      <c r="D658" s="85"/>
      <c r="E658" s="85"/>
      <c r="J658" s="86"/>
      <c r="K658" s="87"/>
      <c r="N658" s="3"/>
    </row>
    <row r="659">
      <c r="D659" s="85"/>
      <c r="E659" s="85"/>
      <c r="J659" s="86"/>
      <c r="K659" s="87"/>
      <c r="N659" s="3"/>
    </row>
    <row r="660">
      <c r="D660" s="85"/>
      <c r="E660" s="85"/>
      <c r="J660" s="86"/>
      <c r="K660" s="87"/>
      <c r="N660" s="3"/>
    </row>
    <row r="661">
      <c r="D661" s="85"/>
      <c r="E661" s="85"/>
      <c r="J661" s="86"/>
      <c r="K661" s="87"/>
      <c r="N661" s="3"/>
    </row>
    <row r="662">
      <c r="D662" s="85"/>
      <c r="E662" s="85"/>
      <c r="J662" s="86"/>
      <c r="K662" s="87"/>
      <c r="N662" s="3"/>
    </row>
    <row r="663">
      <c r="D663" s="85"/>
      <c r="E663" s="85"/>
      <c r="J663" s="86"/>
      <c r="K663" s="87"/>
      <c r="N663" s="3"/>
    </row>
    <row r="664">
      <c r="D664" s="85"/>
      <c r="E664" s="85"/>
      <c r="J664" s="86"/>
      <c r="K664" s="87"/>
      <c r="N664" s="3"/>
    </row>
    <row r="665">
      <c r="D665" s="85"/>
      <c r="E665" s="85"/>
      <c r="J665" s="86"/>
      <c r="K665" s="87"/>
      <c r="N665" s="3"/>
    </row>
    <row r="666">
      <c r="D666" s="85"/>
      <c r="E666" s="85"/>
      <c r="J666" s="86"/>
      <c r="K666" s="87"/>
      <c r="N666" s="3"/>
    </row>
    <row r="667">
      <c r="D667" s="85"/>
      <c r="E667" s="85"/>
      <c r="J667" s="86"/>
      <c r="K667" s="87"/>
      <c r="N667" s="3"/>
    </row>
    <row r="668">
      <c r="D668" s="85"/>
      <c r="E668" s="85"/>
      <c r="J668" s="86"/>
      <c r="K668" s="87"/>
      <c r="N668" s="3"/>
    </row>
    <row r="669">
      <c r="D669" s="85"/>
      <c r="E669" s="85"/>
      <c r="J669" s="86"/>
      <c r="K669" s="87"/>
      <c r="N669" s="3"/>
    </row>
    <row r="670">
      <c r="D670" s="85"/>
      <c r="E670" s="85"/>
      <c r="J670" s="86"/>
      <c r="K670" s="87"/>
      <c r="N670" s="3"/>
    </row>
    <row r="671">
      <c r="D671" s="85"/>
      <c r="E671" s="85"/>
      <c r="J671" s="86"/>
      <c r="K671" s="87"/>
      <c r="N671" s="3"/>
    </row>
    <row r="672">
      <c r="D672" s="85"/>
      <c r="E672" s="85"/>
      <c r="J672" s="86"/>
      <c r="K672" s="87"/>
      <c r="N672" s="3"/>
    </row>
    <row r="673">
      <c r="D673" s="85"/>
      <c r="E673" s="85"/>
      <c r="J673" s="86"/>
      <c r="K673" s="87"/>
      <c r="N673" s="3"/>
    </row>
    <row r="674">
      <c r="D674" s="85"/>
      <c r="E674" s="85"/>
      <c r="J674" s="86"/>
      <c r="K674" s="87"/>
      <c r="N674" s="3"/>
    </row>
    <row r="675">
      <c r="D675" s="85"/>
      <c r="E675" s="85"/>
      <c r="J675" s="86"/>
      <c r="K675" s="87"/>
      <c r="N675" s="3"/>
    </row>
    <row r="676">
      <c r="D676" s="85"/>
      <c r="E676" s="85"/>
      <c r="J676" s="86"/>
      <c r="K676" s="87"/>
      <c r="N676" s="3"/>
    </row>
    <row r="677">
      <c r="D677" s="85"/>
      <c r="E677" s="85"/>
      <c r="J677" s="86"/>
      <c r="K677" s="87"/>
      <c r="N677" s="3"/>
    </row>
    <row r="678">
      <c r="D678" s="85"/>
      <c r="E678" s="85"/>
      <c r="J678" s="86"/>
      <c r="K678" s="87"/>
      <c r="N678" s="3"/>
    </row>
    <row r="679">
      <c r="D679" s="85"/>
      <c r="E679" s="85"/>
      <c r="J679" s="86"/>
      <c r="K679" s="87"/>
      <c r="N679" s="3"/>
    </row>
    <row r="680">
      <c r="D680" s="85"/>
      <c r="E680" s="85"/>
      <c r="J680" s="86"/>
      <c r="K680" s="87"/>
      <c r="N680" s="3"/>
    </row>
    <row r="681">
      <c r="D681" s="85"/>
      <c r="E681" s="85"/>
      <c r="J681" s="86"/>
      <c r="K681" s="87"/>
      <c r="N681" s="3"/>
    </row>
    <row r="682">
      <c r="D682" s="85"/>
      <c r="E682" s="85"/>
      <c r="J682" s="86"/>
      <c r="K682" s="87"/>
      <c r="N682" s="3"/>
    </row>
    <row r="683">
      <c r="D683" s="85"/>
      <c r="E683" s="85"/>
      <c r="J683" s="86"/>
      <c r="K683" s="87"/>
      <c r="N683" s="3"/>
    </row>
    <row r="684">
      <c r="D684" s="85"/>
      <c r="E684" s="85"/>
      <c r="J684" s="86"/>
      <c r="K684" s="87"/>
      <c r="N684" s="3"/>
    </row>
    <row r="685">
      <c r="D685" s="85"/>
      <c r="E685" s="85"/>
      <c r="J685" s="86"/>
      <c r="K685" s="87"/>
      <c r="N685" s="3"/>
    </row>
    <row r="686">
      <c r="D686" s="85"/>
      <c r="E686" s="85"/>
      <c r="J686" s="86"/>
      <c r="K686" s="87"/>
      <c r="N686" s="3"/>
    </row>
    <row r="687">
      <c r="D687" s="85"/>
      <c r="E687" s="85"/>
      <c r="J687" s="86"/>
      <c r="K687" s="87"/>
      <c r="N687" s="3"/>
    </row>
    <row r="688">
      <c r="D688" s="85"/>
      <c r="E688" s="85"/>
      <c r="J688" s="86"/>
      <c r="K688" s="87"/>
      <c r="N688" s="3"/>
    </row>
    <row r="689">
      <c r="D689" s="85"/>
      <c r="E689" s="85"/>
      <c r="J689" s="86"/>
      <c r="K689" s="87"/>
      <c r="N689" s="3"/>
    </row>
    <row r="690">
      <c r="D690" s="85"/>
      <c r="E690" s="85"/>
      <c r="J690" s="86"/>
      <c r="K690" s="87"/>
      <c r="N690" s="3"/>
    </row>
    <row r="691">
      <c r="D691" s="85"/>
      <c r="E691" s="85"/>
      <c r="J691" s="86"/>
      <c r="K691" s="87"/>
      <c r="N691" s="3"/>
    </row>
    <row r="692">
      <c r="D692" s="85"/>
      <c r="E692" s="85"/>
      <c r="J692" s="86"/>
      <c r="K692" s="87"/>
      <c r="N692" s="3"/>
    </row>
    <row r="693">
      <c r="D693" s="85"/>
      <c r="E693" s="85"/>
      <c r="J693" s="86"/>
      <c r="K693" s="87"/>
      <c r="N693" s="3"/>
    </row>
    <row r="694">
      <c r="D694" s="85"/>
      <c r="E694" s="85"/>
      <c r="J694" s="86"/>
      <c r="K694" s="87"/>
      <c r="N694" s="3"/>
    </row>
    <row r="695">
      <c r="D695" s="85"/>
      <c r="E695" s="85"/>
      <c r="J695" s="86"/>
      <c r="K695" s="87"/>
      <c r="N695" s="3"/>
    </row>
    <row r="696">
      <c r="D696" s="85"/>
      <c r="E696" s="85"/>
      <c r="J696" s="86"/>
      <c r="K696" s="87"/>
      <c r="N696" s="3"/>
    </row>
    <row r="697">
      <c r="D697" s="85"/>
      <c r="E697" s="85"/>
      <c r="J697" s="86"/>
      <c r="K697" s="87"/>
      <c r="N697" s="3"/>
    </row>
    <row r="698">
      <c r="D698" s="85"/>
      <c r="E698" s="85"/>
      <c r="J698" s="86"/>
      <c r="K698" s="87"/>
      <c r="N698" s="3"/>
    </row>
    <row r="699">
      <c r="D699" s="85"/>
      <c r="E699" s="85"/>
      <c r="J699" s="86"/>
      <c r="K699" s="87"/>
      <c r="N699" s="3"/>
    </row>
    <row r="700">
      <c r="D700" s="85"/>
      <c r="E700" s="85"/>
      <c r="J700" s="86"/>
      <c r="K700" s="87"/>
      <c r="N700" s="3"/>
    </row>
    <row r="701">
      <c r="D701" s="85"/>
      <c r="E701" s="85"/>
      <c r="J701" s="86"/>
      <c r="K701" s="87"/>
      <c r="N701" s="3"/>
    </row>
    <row r="702">
      <c r="D702" s="85"/>
      <c r="E702" s="85"/>
      <c r="J702" s="86"/>
      <c r="K702" s="87"/>
      <c r="N702" s="3"/>
    </row>
    <row r="703">
      <c r="D703" s="85"/>
      <c r="E703" s="85"/>
      <c r="J703" s="86"/>
      <c r="K703" s="87"/>
      <c r="N703" s="3"/>
    </row>
    <row r="704">
      <c r="D704" s="85"/>
      <c r="E704" s="85"/>
      <c r="J704" s="86"/>
      <c r="K704" s="87"/>
      <c r="N704" s="3"/>
    </row>
    <row r="705">
      <c r="D705" s="85"/>
      <c r="E705" s="85"/>
      <c r="J705" s="86"/>
      <c r="K705" s="87"/>
      <c r="N705" s="3"/>
    </row>
    <row r="706">
      <c r="D706" s="85"/>
      <c r="E706" s="85"/>
      <c r="J706" s="86"/>
      <c r="K706" s="87"/>
      <c r="N706" s="3"/>
    </row>
    <row r="707">
      <c r="D707" s="85"/>
      <c r="E707" s="85"/>
      <c r="J707" s="86"/>
      <c r="K707" s="87"/>
      <c r="N707" s="3"/>
    </row>
    <row r="708">
      <c r="D708" s="85"/>
      <c r="E708" s="85"/>
      <c r="J708" s="86"/>
      <c r="K708" s="87"/>
      <c r="N708" s="3"/>
    </row>
    <row r="709">
      <c r="D709" s="85"/>
      <c r="E709" s="85"/>
      <c r="J709" s="86"/>
      <c r="K709" s="87"/>
      <c r="N709" s="3"/>
    </row>
    <row r="710">
      <c r="D710" s="85"/>
      <c r="E710" s="85"/>
      <c r="J710" s="86"/>
      <c r="K710" s="87"/>
      <c r="N710" s="3"/>
    </row>
    <row r="711">
      <c r="D711" s="85"/>
      <c r="E711" s="85"/>
      <c r="J711" s="86"/>
      <c r="K711" s="87"/>
      <c r="N711" s="3"/>
    </row>
    <row r="712">
      <c r="D712" s="85"/>
      <c r="E712" s="85"/>
      <c r="J712" s="86"/>
      <c r="K712" s="87"/>
      <c r="N712" s="3"/>
    </row>
    <row r="713">
      <c r="D713" s="85"/>
      <c r="E713" s="85"/>
      <c r="J713" s="86"/>
      <c r="K713" s="87"/>
      <c r="N713" s="3"/>
    </row>
    <row r="714">
      <c r="D714" s="85"/>
      <c r="E714" s="85"/>
      <c r="J714" s="86"/>
      <c r="K714" s="87"/>
      <c r="N714" s="3"/>
    </row>
    <row r="715">
      <c r="D715" s="85"/>
      <c r="E715" s="85"/>
      <c r="J715" s="86"/>
      <c r="K715" s="87"/>
      <c r="N715" s="3"/>
    </row>
    <row r="716">
      <c r="D716" s="85"/>
      <c r="E716" s="85"/>
      <c r="J716" s="86"/>
      <c r="K716" s="87"/>
      <c r="N716" s="3"/>
    </row>
    <row r="717">
      <c r="D717" s="85"/>
      <c r="E717" s="85"/>
      <c r="J717" s="86"/>
      <c r="K717" s="87"/>
      <c r="N717" s="3"/>
    </row>
    <row r="718">
      <c r="D718" s="85"/>
      <c r="E718" s="85"/>
      <c r="J718" s="86"/>
      <c r="K718" s="87"/>
      <c r="N718" s="3"/>
    </row>
    <row r="719">
      <c r="D719" s="85"/>
      <c r="E719" s="85"/>
      <c r="J719" s="86"/>
      <c r="K719" s="87"/>
      <c r="N719" s="3"/>
    </row>
    <row r="720">
      <c r="D720" s="85"/>
      <c r="E720" s="85"/>
      <c r="J720" s="86"/>
      <c r="K720" s="87"/>
      <c r="N720" s="3"/>
    </row>
    <row r="721">
      <c r="D721" s="85"/>
      <c r="E721" s="85"/>
      <c r="J721" s="86"/>
      <c r="K721" s="87"/>
      <c r="N721" s="3"/>
    </row>
    <row r="722">
      <c r="D722" s="85"/>
      <c r="E722" s="85"/>
      <c r="J722" s="86"/>
      <c r="K722" s="87"/>
      <c r="N722" s="3"/>
    </row>
    <row r="723">
      <c r="D723" s="85"/>
      <c r="E723" s="85"/>
      <c r="J723" s="86"/>
      <c r="K723" s="87"/>
      <c r="N723" s="3"/>
    </row>
    <row r="724">
      <c r="D724" s="85"/>
      <c r="E724" s="85"/>
      <c r="J724" s="86"/>
      <c r="K724" s="87"/>
      <c r="N724" s="3"/>
    </row>
    <row r="725">
      <c r="D725" s="85"/>
      <c r="E725" s="85"/>
      <c r="J725" s="86"/>
      <c r="K725" s="87"/>
      <c r="N725" s="3"/>
    </row>
    <row r="726">
      <c r="D726" s="85"/>
      <c r="E726" s="85"/>
      <c r="J726" s="86"/>
      <c r="K726" s="87"/>
      <c r="N726" s="3"/>
    </row>
    <row r="727">
      <c r="D727" s="85"/>
      <c r="E727" s="85"/>
      <c r="J727" s="86"/>
      <c r="K727" s="87"/>
      <c r="N727" s="3"/>
    </row>
    <row r="728">
      <c r="D728" s="85"/>
      <c r="E728" s="85"/>
      <c r="J728" s="86"/>
      <c r="K728" s="87"/>
      <c r="N728" s="3"/>
    </row>
    <row r="729">
      <c r="D729" s="85"/>
      <c r="E729" s="85"/>
      <c r="J729" s="86"/>
      <c r="K729" s="87"/>
      <c r="N729" s="3"/>
    </row>
    <row r="730">
      <c r="D730" s="85"/>
      <c r="E730" s="85"/>
      <c r="J730" s="86"/>
      <c r="K730" s="87"/>
      <c r="N730" s="3"/>
    </row>
    <row r="731">
      <c r="D731" s="85"/>
      <c r="E731" s="85"/>
      <c r="J731" s="86"/>
      <c r="K731" s="87"/>
      <c r="N731" s="3"/>
    </row>
    <row r="732">
      <c r="D732" s="85"/>
      <c r="E732" s="85"/>
      <c r="J732" s="86"/>
      <c r="K732" s="87"/>
      <c r="N732" s="3"/>
    </row>
    <row r="733">
      <c r="D733" s="85"/>
      <c r="E733" s="85"/>
      <c r="J733" s="86"/>
      <c r="K733" s="87"/>
      <c r="N733" s="3"/>
    </row>
    <row r="734">
      <c r="D734" s="85"/>
      <c r="E734" s="85"/>
      <c r="J734" s="86"/>
      <c r="K734" s="87"/>
      <c r="N734" s="3"/>
    </row>
    <row r="735">
      <c r="D735" s="85"/>
      <c r="E735" s="85"/>
      <c r="J735" s="86"/>
      <c r="K735" s="87"/>
      <c r="N735" s="3"/>
    </row>
    <row r="736">
      <c r="D736" s="85"/>
      <c r="E736" s="85"/>
      <c r="J736" s="86"/>
      <c r="K736" s="87"/>
      <c r="N736" s="3"/>
    </row>
    <row r="737">
      <c r="D737" s="85"/>
      <c r="E737" s="85"/>
      <c r="J737" s="86"/>
      <c r="K737" s="87"/>
      <c r="N737" s="3"/>
    </row>
    <row r="738">
      <c r="D738" s="85"/>
      <c r="E738" s="85"/>
      <c r="J738" s="86"/>
      <c r="K738" s="87"/>
      <c r="N738" s="3"/>
    </row>
    <row r="739">
      <c r="D739" s="85"/>
      <c r="E739" s="85"/>
      <c r="J739" s="86"/>
      <c r="K739" s="87"/>
      <c r="N739" s="3"/>
    </row>
    <row r="740">
      <c r="D740" s="85"/>
      <c r="E740" s="85"/>
      <c r="J740" s="86"/>
      <c r="K740" s="87"/>
      <c r="N740" s="3"/>
    </row>
    <row r="741">
      <c r="D741" s="85"/>
      <c r="E741" s="85"/>
      <c r="J741" s="86"/>
      <c r="K741" s="87"/>
      <c r="N741" s="3"/>
    </row>
    <row r="742">
      <c r="D742" s="85"/>
      <c r="E742" s="85"/>
      <c r="J742" s="86"/>
      <c r="K742" s="87"/>
      <c r="N742" s="3"/>
    </row>
    <row r="743">
      <c r="D743" s="85"/>
      <c r="E743" s="85"/>
      <c r="J743" s="86"/>
      <c r="K743" s="87"/>
      <c r="N743" s="3"/>
    </row>
    <row r="744">
      <c r="D744" s="85"/>
      <c r="E744" s="85"/>
      <c r="J744" s="86"/>
      <c r="K744" s="87"/>
      <c r="N744" s="3"/>
    </row>
    <row r="745">
      <c r="D745" s="85"/>
      <c r="E745" s="85"/>
      <c r="J745" s="86"/>
      <c r="K745" s="87"/>
      <c r="N745" s="3"/>
    </row>
    <row r="746">
      <c r="D746" s="85"/>
      <c r="E746" s="85"/>
      <c r="J746" s="86"/>
      <c r="K746" s="87"/>
      <c r="N746" s="3"/>
    </row>
    <row r="747">
      <c r="D747" s="85"/>
      <c r="E747" s="85"/>
      <c r="J747" s="86"/>
      <c r="K747" s="87"/>
      <c r="N747" s="3"/>
    </row>
    <row r="748">
      <c r="D748" s="85"/>
      <c r="E748" s="85"/>
      <c r="J748" s="86"/>
      <c r="K748" s="87"/>
      <c r="N748" s="3"/>
    </row>
    <row r="749">
      <c r="D749" s="85"/>
      <c r="E749" s="85"/>
      <c r="J749" s="86"/>
      <c r="K749" s="87"/>
      <c r="N749" s="3"/>
    </row>
    <row r="750">
      <c r="D750" s="85"/>
      <c r="E750" s="85"/>
      <c r="J750" s="86"/>
      <c r="K750" s="87"/>
      <c r="N750" s="3"/>
    </row>
    <row r="751">
      <c r="D751" s="85"/>
      <c r="E751" s="85"/>
      <c r="J751" s="86"/>
      <c r="K751" s="87"/>
      <c r="N751" s="3"/>
    </row>
    <row r="752">
      <c r="D752" s="85"/>
      <c r="E752" s="85"/>
      <c r="J752" s="86"/>
      <c r="K752" s="87"/>
      <c r="N752" s="3"/>
    </row>
    <row r="753">
      <c r="D753" s="85"/>
      <c r="E753" s="85"/>
      <c r="J753" s="86"/>
      <c r="K753" s="87"/>
      <c r="N753" s="3"/>
    </row>
    <row r="754">
      <c r="D754" s="85"/>
      <c r="E754" s="85"/>
      <c r="J754" s="86"/>
      <c r="K754" s="87"/>
      <c r="N754" s="3"/>
    </row>
    <row r="755">
      <c r="D755" s="85"/>
      <c r="E755" s="85"/>
      <c r="J755" s="86"/>
      <c r="K755" s="87"/>
      <c r="N755" s="3"/>
    </row>
    <row r="756">
      <c r="D756" s="85"/>
      <c r="E756" s="85"/>
      <c r="J756" s="86"/>
      <c r="K756" s="87"/>
      <c r="N756" s="3"/>
    </row>
    <row r="757">
      <c r="D757" s="85"/>
      <c r="E757" s="85"/>
      <c r="J757" s="86"/>
      <c r="K757" s="87"/>
      <c r="N757" s="3"/>
    </row>
    <row r="758">
      <c r="D758" s="85"/>
      <c r="E758" s="85"/>
      <c r="J758" s="86"/>
      <c r="K758" s="87"/>
      <c r="N758" s="3"/>
    </row>
    <row r="759">
      <c r="D759" s="85"/>
      <c r="E759" s="85"/>
      <c r="J759" s="86"/>
      <c r="K759" s="87"/>
      <c r="N759" s="3"/>
    </row>
    <row r="760">
      <c r="D760" s="85"/>
      <c r="E760" s="85"/>
      <c r="J760" s="86"/>
      <c r="K760" s="87"/>
      <c r="N760" s="3"/>
    </row>
    <row r="761">
      <c r="D761" s="85"/>
      <c r="E761" s="85"/>
      <c r="J761" s="86"/>
      <c r="K761" s="87"/>
      <c r="N761" s="3"/>
    </row>
    <row r="762">
      <c r="D762" s="85"/>
      <c r="E762" s="85"/>
      <c r="J762" s="86"/>
      <c r="K762" s="87"/>
      <c r="N762" s="3"/>
    </row>
    <row r="763">
      <c r="D763" s="85"/>
      <c r="E763" s="85"/>
      <c r="J763" s="86"/>
      <c r="K763" s="87"/>
      <c r="N763" s="3"/>
    </row>
    <row r="764">
      <c r="D764" s="85"/>
      <c r="E764" s="85"/>
      <c r="J764" s="86"/>
      <c r="K764" s="87"/>
      <c r="N764" s="3"/>
    </row>
    <row r="765">
      <c r="D765" s="85"/>
      <c r="E765" s="85"/>
      <c r="J765" s="86"/>
      <c r="K765" s="87"/>
      <c r="N765" s="3"/>
    </row>
    <row r="766">
      <c r="D766" s="85"/>
      <c r="E766" s="85"/>
      <c r="J766" s="86"/>
      <c r="K766" s="87"/>
      <c r="N766" s="3"/>
    </row>
    <row r="767">
      <c r="D767" s="85"/>
      <c r="E767" s="85"/>
      <c r="J767" s="86"/>
      <c r="K767" s="87"/>
      <c r="N767" s="3"/>
    </row>
    <row r="768">
      <c r="D768" s="85"/>
      <c r="E768" s="85"/>
      <c r="J768" s="86"/>
      <c r="K768" s="87"/>
      <c r="N768" s="3"/>
    </row>
    <row r="769">
      <c r="D769" s="85"/>
      <c r="E769" s="85"/>
      <c r="J769" s="86"/>
      <c r="K769" s="87"/>
      <c r="N769" s="3"/>
    </row>
    <row r="770">
      <c r="D770" s="85"/>
      <c r="E770" s="85"/>
      <c r="J770" s="86"/>
      <c r="K770" s="87"/>
      <c r="N770" s="3"/>
    </row>
    <row r="771">
      <c r="D771" s="85"/>
      <c r="E771" s="85"/>
      <c r="J771" s="86"/>
      <c r="K771" s="87"/>
      <c r="N771" s="3"/>
    </row>
    <row r="772">
      <c r="D772" s="85"/>
      <c r="E772" s="85"/>
      <c r="J772" s="86"/>
      <c r="K772" s="87"/>
      <c r="N772" s="3"/>
    </row>
    <row r="773">
      <c r="D773" s="85"/>
      <c r="E773" s="85"/>
      <c r="J773" s="86"/>
      <c r="K773" s="87"/>
      <c r="N773" s="3"/>
    </row>
    <row r="774">
      <c r="D774" s="85"/>
      <c r="E774" s="85"/>
      <c r="J774" s="86"/>
      <c r="K774" s="87"/>
      <c r="N774" s="3"/>
    </row>
    <row r="775">
      <c r="D775" s="85"/>
      <c r="E775" s="85"/>
      <c r="J775" s="86"/>
      <c r="K775" s="87"/>
      <c r="N775" s="3"/>
    </row>
    <row r="776">
      <c r="D776" s="85"/>
      <c r="E776" s="85"/>
      <c r="J776" s="86"/>
      <c r="K776" s="87"/>
      <c r="N776" s="3"/>
    </row>
    <row r="777">
      <c r="D777" s="85"/>
      <c r="E777" s="85"/>
      <c r="J777" s="86"/>
      <c r="K777" s="87"/>
      <c r="N777" s="3"/>
    </row>
    <row r="778">
      <c r="D778" s="85"/>
      <c r="E778" s="85"/>
      <c r="J778" s="86"/>
      <c r="K778" s="87"/>
      <c r="N778" s="3"/>
    </row>
    <row r="779">
      <c r="D779" s="85"/>
      <c r="E779" s="85"/>
      <c r="J779" s="86"/>
      <c r="K779" s="87"/>
      <c r="N779" s="3"/>
    </row>
    <row r="780">
      <c r="D780" s="85"/>
      <c r="E780" s="85"/>
      <c r="J780" s="86"/>
      <c r="K780" s="87"/>
      <c r="N780" s="3"/>
    </row>
    <row r="781">
      <c r="D781" s="85"/>
      <c r="E781" s="85"/>
      <c r="J781" s="86"/>
      <c r="K781" s="87"/>
      <c r="N781" s="3"/>
    </row>
    <row r="782">
      <c r="D782" s="85"/>
      <c r="E782" s="85"/>
      <c r="J782" s="86"/>
      <c r="K782" s="87"/>
      <c r="N782" s="3"/>
    </row>
    <row r="783">
      <c r="D783" s="85"/>
      <c r="E783" s="85"/>
      <c r="J783" s="86"/>
      <c r="K783" s="87"/>
      <c r="N783" s="3"/>
    </row>
    <row r="784">
      <c r="D784" s="85"/>
      <c r="E784" s="85"/>
      <c r="J784" s="86"/>
      <c r="K784" s="87"/>
      <c r="N784" s="3"/>
    </row>
    <row r="785">
      <c r="D785" s="85"/>
      <c r="E785" s="85"/>
      <c r="J785" s="86"/>
      <c r="K785" s="87"/>
      <c r="N785" s="3"/>
    </row>
    <row r="786">
      <c r="D786" s="85"/>
      <c r="E786" s="85"/>
      <c r="J786" s="86"/>
      <c r="K786" s="87"/>
      <c r="N786" s="3"/>
    </row>
    <row r="787">
      <c r="D787" s="85"/>
      <c r="E787" s="85"/>
      <c r="J787" s="86"/>
      <c r="K787" s="87"/>
      <c r="N787" s="3"/>
    </row>
    <row r="788">
      <c r="D788" s="85"/>
      <c r="E788" s="85"/>
      <c r="J788" s="86"/>
      <c r="K788" s="87"/>
      <c r="N788" s="3"/>
    </row>
    <row r="789">
      <c r="D789" s="85"/>
      <c r="E789" s="85"/>
      <c r="J789" s="86"/>
      <c r="K789" s="87"/>
      <c r="N789" s="3"/>
    </row>
    <row r="790">
      <c r="D790" s="85"/>
      <c r="E790" s="85"/>
      <c r="J790" s="86"/>
      <c r="K790" s="87"/>
      <c r="N790" s="3"/>
    </row>
    <row r="791">
      <c r="D791" s="85"/>
      <c r="E791" s="85"/>
      <c r="J791" s="86"/>
      <c r="K791" s="87"/>
      <c r="N791" s="3"/>
    </row>
    <row r="792">
      <c r="D792" s="85"/>
      <c r="E792" s="85"/>
      <c r="J792" s="86"/>
      <c r="K792" s="87"/>
      <c r="N792" s="3"/>
    </row>
    <row r="793">
      <c r="D793" s="85"/>
      <c r="E793" s="85"/>
      <c r="J793" s="86"/>
      <c r="K793" s="87"/>
      <c r="N793" s="3"/>
    </row>
    <row r="794">
      <c r="D794" s="85"/>
      <c r="E794" s="85"/>
      <c r="J794" s="86"/>
      <c r="K794" s="87"/>
      <c r="N794" s="3"/>
    </row>
    <row r="795">
      <c r="D795" s="85"/>
      <c r="E795" s="85"/>
      <c r="J795" s="86"/>
      <c r="K795" s="87"/>
      <c r="N795" s="3"/>
    </row>
    <row r="796">
      <c r="D796" s="85"/>
      <c r="E796" s="85"/>
      <c r="J796" s="86"/>
      <c r="K796" s="87"/>
      <c r="N796" s="3"/>
    </row>
    <row r="797">
      <c r="D797" s="85"/>
      <c r="E797" s="85"/>
      <c r="J797" s="86"/>
      <c r="K797" s="87"/>
      <c r="N797" s="3"/>
    </row>
    <row r="798">
      <c r="D798" s="85"/>
      <c r="E798" s="85"/>
      <c r="J798" s="86"/>
      <c r="K798" s="87"/>
      <c r="N798" s="3"/>
    </row>
    <row r="799">
      <c r="D799" s="85"/>
      <c r="E799" s="85"/>
      <c r="J799" s="86"/>
      <c r="K799" s="87"/>
      <c r="N799" s="3"/>
    </row>
    <row r="800">
      <c r="D800" s="85"/>
      <c r="E800" s="85"/>
      <c r="J800" s="86"/>
      <c r="K800" s="87"/>
      <c r="N800" s="3"/>
    </row>
    <row r="801">
      <c r="D801" s="85"/>
      <c r="E801" s="85"/>
      <c r="J801" s="86"/>
      <c r="K801" s="87"/>
      <c r="N801" s="3"/>
    </row>
    <row r="802">
      <c r="D802" s="85"/>
      <c r="E802" s="85"/>
      <c r="J802" s="86"/>
      <c r="K802" s="87"/>
      <c r="N802" s="3"/>
    </row>
    <row r="803">
      <c r="D803" s="85"/>
      <c r="E803" s="85"/>
      <c r="J803" s="86"/>
      <c r="K803" s="87"/>
      <c r="N803" s="3"/>
    </row>
    <row r="804">
      <c r="D804" s="85"/>
      <c r="E804" s="85"/>
      <c r="J804" s="86"/>
      <c r="K804" s="87"/>
      <c r="N804" s="3"/>
    </row>
    <row r="805">
      <c r="D805" s="85"/>
      <c r="E805" s="85"/>
      <c r="J805" s="86"/>
      <c r="K805" s="87"/>
      <c r="N805" s="3"/>
    </row>
    <row r="806">
      <c r="D806" s="85"/>
      <c r="E806" s="85"/>
      <c r="J806" s="86"/>
      <c r="K806" s="87"/>
      <c r="N806" s="3"/>
    </row>
    <row r="807">
      <c r="D807" s="85"/>
      <c r="E807" s="85"/>
      <c r="J807" s="86"/>
      <c r="K807" s="87"/>
      <c r="N807" s="3"/>
    </row>
    <row r="808">
      <c r="D808" s="85"/>
      <c r="E808" s="85"/>
      <c r="J808" s="86"/>
      <c r="K808" s="87"/>
      <c r="N808" s="3"/>
    </row>
    <row r="809">
      <c r="D809" s="85"/>
      <c r="E809" s="85"/>
      <c r="J809" s="86"/>
      <c r="K809" s="87"/>
      <c r="N809" s="3"/>
    </row>
    <row r="810">
      <c r="D810" s="85"/>
      <c r="E810" s="85"/>
      <c r="J810" s="86"/>
      <c r="K810" s="87"/>
      <c r="N810" s="3"/>
    </row>
    <row r="811">
      <c r="D811" s="85"/>
      <c r="E811" s="85"/>
      <c r="J811" s="86"/>
      <c r="K811" s="87"/>
      <c r="N811" s="3"/>
    </row>
    <row r="812">
      <c r="D812" s="85"/>
      <c r="E812" s="85"/>
      <c r="J812" s="86"/>
      <c r="K812" s="87"/>
      <c r="N812" s="3"/>
    </row>
    <row r="813">
      <c r="D813" s="85"/>
      <c r="E813" s="85"/>
      <c r="J813" s="86"/>
      <c r="K813" s="87"/>
      <c r="N813" s="3"/>
    </row>
    <row r="814">
      <c r="D814" s="85"/>
      <c r="E814" s="85"/>
      <c r="J814" s="86"/>
      <c r="K814" s="87"/>
      <c r="N814" s="3"/>
    </row>
    <row r="815">
      <c r="D815" s="85"/>
      <c r="E815" s="85"/>
      <c r="J815" s="86"/>
      <c r="K815" s="87"/>
      <c r="N815" s="3"/>
    </row>
    <row r="816">
      <c r="D816" s="85"/>
      <c r="E816" s="85"/>
      <c r="J816" s="86"/>
      <c r="K816" s="87"/>
      <c r="N816" s="3"/>
    </row>
    <row r="817">
      <c r="D817" s="85"/>
      <c r="E817" s="85"/>
      <c r="J817" s="86"/>
      <c r="K817" s="87"/>
      <c r="N817" s="3"/>
    </row>
    <row r="818">
      <c r="D818" s="85"/>
      <c r="E818" s="85"/>
      <c r="J818" s="86"/>
      <c r="K818" s="87"/>
      <c r="N818" s="3"/>
    </row>
    <row r="819">
      <c r="D819" s="85"/>
      <c r="E819" s="85"/>
      <c r="J819" s="86"/>
      <c r="K819" s="87"/>
      <c r="N819" s="3"/>
    </row>
    <row r="820">
      <c r="D820" s="85"/>
      <c r="E820" s="85"/>
      <c r="J820" s="86"/>
      <c r="K820" s="87"/>
      <c r="N820" s="3"/>
    </row>
    <row r="821">
      <c r="D821" s="85"/>
      <c r="E821" s="85"/>
      <c r="J821" s="86"/>
      <c r="K821" s="87"/>
      <c r="N821" s="3"/>
    </row>
    <row r="822">
      <c r="D822" s="85"/>
      <c r="E822" s="85"/>
      <c r="J822" s="86"/>
      <c r="K822" s="87"/>
      <c r="N822" s="3"/>
    </row>
    <row r="823">
      <c r="D823" s="85"/>
      <c r="E823" s="85"/>
      <c r="J823" s="86"/>
      <c r="K823" s="87"/>
      <c r="N823" s="3"/>
    </row>
    <row r="824">
      <c r="D824" s="85"/>
      <c r="E824" s="85"/>
      <c r="J824" s="86"/>
      <c r="K824" s="87"/>
      <c r="N824" s="3"/>
    </row>
    <row r="825">
      <c r="D825" s="85"/>
      <c r="E825" s="85"/>
      <c r="J825" s="86"/>
      <c r="K825" s="87"/>
      <c r="N825" s="3"/>
    </row>
    <row r="826">
      <c r="D826" s="85"/>
      <c r="E826" s="85"/>
      <c r="J826" s="86"/>
      <c r="K826" s="87"/>
      <c r="N826" s="3"/>
    </row>
    <row r="827">
      <c r="D827" s="85"/>
      <c r="E827" s="85"/>
      <c r="J827" s="86"/>
      <c r="K827" s="87"/>
      <c r="N827" s="3"/>
    </row>
    <row r="828">
      <c r="D828" s="85"/>
      <c r="E828" s="85"/>
      <c r="J828" s="86"/>
      <c r="K828" s="87"/>
      <c r="N828" s="3"/>
    </row>
    <row r="829">
      <c r="D829" s="85"/>
      <c r="E829" s="85"/>
      <c r="J829" s="86"/>
      <c r="K829" s="87"/>
      <c r="N829" s="3"/>
    </row>
    <row r="830">
      <c r="D830" s="85"/>
      <c r="E830" s="85"/>
      <c r="J830" s="86"/>
      <c r="K830" s="87"/>
      <c r="N830" s="3"/>
    </row>
    <row r="831">
      <c r="D831" s="85"/>
      <c r="E831" s="85"/>
      <c r="J831" s="86"/>
      <c r="K831" s="87"/>
      <c r="N831" s="3"/>
    </row>
    <row r="832">
      <c r="D832" s="85"/>
      <c r="E832" s="85"/>
      <c r="J832" s="86"/>
      <c r="K832" s="87"/>
      <c r="N832" s="3"/>
    </row>
    <row r="833">
      <c r="D833" s="85"/>
      <c r="E833" s="85"/>
      <c r="J833" s="86"/>
      <c r="K833" s="87"/>
      <c r="N833" s="3"/>
    </row>
    <row r="834">
      <c r="D834" s="85"/>
      <c r="E834" s="85"/>
      <c r="J834" s="86"/>
      <c r="K834" s="87"/>
      <c r="N834" s="3"/>
    </row>
    <row r="835">
      <c r="D835" s="85"/>
      <c r="E835" s="85"/>
      <c r="J835" s="86"/>
      <c r="K835" s="87"/>
      <c r="N835" s="3"/>
    </row>
    <row r="836">
      <c r="D836" s="85"/>
      <c r="E836" s="85"/>
      <c r="J836" s="86"/>
      <c r="K836" s="87"/>
      <c r="N836" s="3"/>
    </row>
    <row r="837">
      <c r="D837" s="85"/>
      <c r="E837" s="85"/>
      <c r="J837" s="86"/>
      <c r="K837" s="87"/>
      <c r="N837" s="3"/>
    </row>
    <row r="838">
      <c r="D838" s="85"/>
      <c r="E838" s="85"/>
      <c r="J838" s="86"/>
      <c r="K838" s="87"/>
      <c r="N838" s="3"/>
    </row>
    <row r="839">
      <c r="D839" s="85"/>
      <c r="E839" s="85"/>
      <c r="J839" s="86"/>
      <c r="K839" s="87"/>
      <c r="N839" s="3"/>
    </row>
    <row r="840">
      <c r="D840" s="85"/>
      <c r="E840" s="85"/>
      <c r="J840" s="86"/>
      <c r="K840" s="87"/>
      <c r="N840" s="3"/>
    </row>
    <row r="841">
      <c r="D841" s="85"/>
      <c r="E841" s="85"/>
      <c r="J841" s="86"/>
      <c r="K841" s="87"/>
      <c r="N841" s="3"/>
    </row>
    <row r="842">
      <c r="D842" s="85"/>
      <c r="E842" s="85"/>
      <c r="J842" s="86"/>
      <c r="K842" s="87"/>
      <c r="N842" s="3"/>
    </row>
    <row r="843">
      <c r="D843" s="85"/>
      <c r="E843" s="85"/>
      <c r="J843" s="86"/>
      <c r="K843" s="87"/>
      <c r="N843" s="3"/>
    </row>
    <row r="844">
      <c r="D844" s="85"/>
      <c r="E844" s="85"/>
      <c r="J844" s="86"/>
      <c r="K844" s="87"/>
      <c r="N844" s="3"/>
    </row>
    <row r="845">
      <c r="D845" s="85"/>
      <c r="E845" s="85"/>
      <c r="J845" s="86"/>
      <c r="K845" s="87"/>
      <c r="N845" s="3"/>
    </row>
    <row r="846">
      <c r="D846" s="85"/>
      <c r="E846" s="85"/>
      <c r="J846" s="86"/>
      <c r="K846" s="87"/>
      <c r="N846" s="3"/>
    </row>
    <row r="847">
      <c r="D847" s="85"/>
      <c r="E847" s="85"/>
      <c r="J847" s="86"/>
      <c r="K847" s="87"/>
      <c r="N847" s="3"/>
    </row>
    <row r="848">
      <c r="D848" s="85"/>
      <c r="E848" s="85"/>
      <c r="J848" s="86"/>
      <c r="K848" s="87"/>
      <c r="N848" s="3"/>
    </row>
    <row r="849">
      <c r="D849" s="85"/>
      <c r="E849" s="85"/>
      <c r="J849" s="86"/>
      <c r="K849" s="87"/>
      <c r="N849" s="3"/>
    </row>
    <row r="850">
      <c r="D850" s="85"/>
      <c r="E850" s="85"/>
      <c r="J850" s="86"/>
      <c r="K850" s="87"/>
      <c r="N850" s="3"/>
    </row>
    <row r="851">
      <c r="D851" s="85"/>
      <c r="E851" s="85"/>
      <c r="J851" s="86"/>
      <c r="K851" s="87"/>
      <c r="N851" s="3"/>
    </row>
    <row r="852">
      <c r="D852" s="85"/>
      <c r="E852" s="85"/>
      <c r="J852" s="86"/>
      <c r="K852" s="87"/>
      <c r="N852" s="3"/>
    </row>
    <row r="853">
      <c r="D853" s="85"/>
      <c r="E853" s="85"/>
      <c r="J853" s="86"/>
      <c r="K853" s="87"/>
      <c r="N853" s="3"/>
    </row>
    <row r="854">
      <c r="D854" s="85"/>
      <c r="E854" s="85"/>
      <c r="J854" s="86"/>
      <c r="K854" s="87"/>
      <c r="N854" s="3"/>
    </row>
    <row r="855">
      <c r="D855" s="85"/>
      <c r="E855" s="85"/>
      <c r="J855" s="86"/>
      <c r="K855" s="87"/>
      <c r="N855" s="3"/>
    </row>
    <row r="856">
      <c r="D856" s="85"/>
      <c r="E856" s="85"/>
      <c r="J856" s="86"/>
      <c r="K856" s="87"/>
      <c r="N856" s="3"/>
    </row>
    <row r="857">
      <c r="D857" s="85"/>
      <c r="E857" s="85"/>
      <c r="J857" s="86"/>
      <c r="K857" s="87"/>
      <c r="N857" s="3"/>
    </row>
    <row r="858">
      <c r="D858" s="85"/>
      <c r="E858" s="85"/>
      <c r="J858" s="86"/>
      <c r="K858" s="87"/>
      <c r="N858" s="3"/>
    </row>
    <row r="859">
      <c r="D859" s="85"/>
      <c r="E859" s="85"/>
      <c r="J859" s="86"/>
      <c r="K859" s="87"/>
      <c r="N859" s="3"/>
    </row>
    <row r="860">
      <c r="D860" s="85"/>
      <c r="E860" s="85"/>
      <c r="J860" s="86"/>
      <c r="K860" s="87"/>
      <c r="N860" s="3"/>
    </row>
    <row r="861">
      <c r="D861" s="85"/>
      <c r="E861" s="85"/>
      <c r="J861" s="86"/>
      <c r="K861" s="87"/>
      <c r="N861" s="3"/>
    </row>
    <row r="862">
      <c r="D862" s="85"/>
      <c r="E862" s="85"/>
      <c r="J862" s="86"/>
      <c r="K862" s="87"/>
      <c r="N862" s="3"/>
    </row>
    <row r="863">
      <c r="D863" s="85"/>
      <c r="E863" s="85"/>
      <c r="J863" s="86"/>
      <c r="K863" s="87"/>
      <c r="N863" s="3"/>
    </row>
    <row r="864">
      <c r="D864" s="85"/>
      <c r="E864" s="85"/>
      <c r="J864" s="86"/>
      <c r="K864" s="87"/>
      <c r="N864" s="3"/>
    </row>
    <row r="865">
      <c r="D865" s="85"/>
      <c r="E865" s="85"/>
      <c r="J865" s="86"/>
      <c r="K865" s="87"/>
      <c r="N865" s="3"/>
    </row>
    <row r="866">
      <c r="D866" s="85"/>
      <c r="E866" s="85"/>
      <c r="J866" s="86"/>
      <c r="K866" s="87"/>
      <c r="N866" s="3"/>
    </row>
    <row r="867">
      <c r="D867" s="85"/>
      <c r="E867" s="85"/>
      <c r="J867" s="86"/>
      <c r="K867" s="87"/>
      <c r="N867" s="3"/>
    </row>
    <row r="868">
      <c r="D868" s="85"/>
      <c r="E868" s="85"/>
      <c r="J868" s="86"/>
      <c r="K868" s="87"/>
      <c r="N868" s="3"/>
    </row>
    <row r="869">
      <c r="D869" s="85"/>
      <c r="E869" s="85"/>
      <c r="J869" s="86"/>
      <c r="K869" s="87"/>
      <c r="N869" s="3"/>
    </row>
    <row r="870">
      <c r="D870" s="85"/>
      <c r="E870" s="85"/>
      <c r="J870" s="86"/>
      <c r="K870" s="87"/>
      <c r="N870" s="3"/>
    </row>
    <row r="871">
      <c r="D871" s="85"/>
      <c r="E871" s="85"/>
      <c r="J871" s="86"/>
      <c r="K871" s="87"/>
      <c r="N871" s="3"/>
    </row>
    <row r="872">
      <c r="D872" s="85"/>
      <c r="E872" s="85"/>
      <c r="J872" s="86"/>
      <c r="K872" s="87"/>
      <c r="N872" s="3"/>
    </row>
    <row r="873">
      <c r="D873" s="85"/>
      <c r="E873" s="85"/>
      <c r="J873" s="86"/>
      <c r="K873" s="87"/>
      <c r="N873" s="3"/>
    </row>
    <row r="874">
      <c r="D874" s="85"/>
      <c r="E874" s="85"/>
      <c r="J874" s="86"/>
      <c r="K874" s="87"/>
      <c r="N874" s="3"/>
    </row>
    <row r="875">
      <c r="D875" s="85"/>
      <c r="E875" s="85"/>
      <c r="J875" s="86"/>
      <c r="K875" s="87"/>
      <c r="N875" s="3"/>
    </row>
    <row r="876">
      <c r="D876" s="85"/>
      <c r="E876" s="85"/>
      <c r="J876" s="86"/>
      <c r="K876" s="87"/>
      <c r="N876" s="3"/>
    </row>
    <row r="877">
      <c r="D877" s="85"/>
      <c r="E877" s="85"/>
      <c r="J877" s="86"/>
      <c r="K877" s="87"/>
      <c r="N877" s="3"/>
    </row>
    <row r="878">
      <c r="D878" s="85"/>
      <c r="E878" s="85"/>
      <c r="J878" s="86"/>
      <c r="K878" s="87"/>
      <c r="N878" s="3"/>
    </row>
    <row r="879">
      <c r="D879" s="85"/>
      <c r="E879" s="85"/>
      <c r="J879" s="86"/>
      <c r="K879" s="87"/>
      <c r="N879" s="3"/>
    </row>
    <row r="880">
      <c r="D880" s="85"/>
      <c r="E880" s="85"/>
      <c r="J880" s="86"/>
      <c r="K880" s="87"/>
      <c r="N880" s="3"/>
    </row>
    <row r="881">
      <c r="D881" s="85"/>
      <c r="E881" s="85"/>
      <c r="J881" s="86"/>
      <c r="K881" s="87"/>
      <c r="N881" s="3"/>
    </row>
    <row r="882">
      <c r="D882" s="85"/>
      <c r="E882" s="85"/>
      <c r="J882" s="86"/>
      <c r="K882" s="87"/>
      <c r="N882" s="3"/>
    </row>
    <row r="883">
      <c r="D883" s="85"/>
      <c r="E883" s="85"/>
      <c r="J883" s="86"/>
      <c r="K883" s="87"/>
      <c r="N883" s="3"/>
    </row>
    <row r="884">
      <c r="D884" s="85"/>
      <c r="E884" s="85"/>
      <c r="J884" s="86"/>
      <c r="K884" s="87"/>
      <c r="N884" s="3"/>
    </row>
    <row r="885">
      <c r="D885" s="85"/>
      <c r="E885" s="85"/>
      <c r="J885" s="86"/>
      <c r="K885" s="87"/>
      <c r="N885" s="3"/>
    </row>
    <row r="886">
      <c r="D886" s="85"/>
      <c r="E886" s="85"/>
      <c r="J886" s="86"/>
      <c r="K886" s="87"/>
      <c r="N886" s="3"/>
    </row>
    <row r="887">
      <c r="D887" s="85"/>
      <c r="E887" s="85"/>
      <c r="J887" s="86"/>
      <c r="K887" s="87"/>
      <c r="N887" s="3"/>
    </row>
    <row r="888">
      <c r="D888" s="85"/>
      <c r="E888" s="85"/>
      <c r="J888" s="86"/>
      <c r="K888" s="87"/>
      <c r="N888" s="3"/>
    </row>
    <row r="889">
      <c r="D889" s="85"/>
      <c r="E889" s="85"/>
      <c r="J889" s="86"/>
      <c r="K889" s="87"/>
      <c r="N889" s="3"/>
    </row>
    <row r="890">
      <c r="D890" s="85"/>
      <c r="E890" s="85"/>
      <c r="J890" s="86"/>
      <c r="K890" s="87"/>
      <c r="N890" s="3"/>
    </row>
    <row r="891">
      <c r="D891" s="85"/>
      <c r="E891" s="85"/>
      <c r="J891" s="86"/>
      <c r="K891" s="87"/>
      <c r="N891" s="3"/>
    </row>
    <row r="892">
      <c r="D892" s="85"/>
      <c r="E892" s="85"/>
      <c r="J892" s="86"/>
      <c r="K892" s="87"/>
      <c r="N892" s="3"/>
    </row>
    <row r="893">
      <c r="D893" s="85"/>
      <c r="E893" s="85"/>
      <c r="J893" s="86"/>
      <c r="K893" s="87"/>
      <c r="N893" s="3"/>
    </row>
    <row r="894">
      <c r="D894" s="85"/>
      <c r="E894" s="85"/>
      <c r="J894" s="86"/>
      <c r="K894" s="87"/>
      <c r="N894" s="3"/>
    </row>
    <row r="895">
      <c r="D895" s="85"/>
      <c r="E895" s="85"/>
      <c r="J895" s="86"/>
      <c r="K895" s="87"/>
      <c r="N895" s="3"/>
    </row>
    <row r="896">
      <c r="D896" s="85"/>
      <c r="E896" s="85"/>
      <c r="J896" s="86"/>
      <c r="K896" s="87"/>
      <c r="N896" s="3"/>
    </row>
    <row r="897">
      <c r="D897" s="85"/>
      <c r="E897" s="85"/>
      <c r="J897" s="86"/>
      <c r="K897" s="87"/>
      <c r="N897" s="3"/>
    </row>
    <row r="898">
      <c r="D898" s="85"/>
      <c r="E898" s="85"/>
      <c r="J898" s="86"/>
      <c r="K898" s="87"/>
      <c r="N898" s="3"/>
    </row>
    <row r="899">
      <c r="D899" s="85"/>
      <c r="E899" s="85"/>
      <c r="J899" s="86"/>
      <c r="K899" s="87"/>
      <c r="N899" s="3"/>
    </row>
    <row r="900">
      <c r="D900" s="85"/>
      <c r="E900" s="85"/>
      <c r="J900" s="86"/>
      <c r="K900" s="87"/>
      <c r="N900" s="3"/>
    </row>
    <row r="901">
      <c r="D901" s="85"/>
      <c r="E901" s="85"/>
      <c r="J901" s="86"/>
      <c r="K901" s="87"/>
      <c r="N901" s="3"/>
    </row>
    <row r="902">
      <c r="D902" s="85"/>
      <c r="E902" s="85"/>
      <c r="J902" s="86"/>
      <c r="K902" s="87"/>
      <c r="N902" s="3"/>
    </row>
    <row r="903">
      <c r="D903" s="85"/>
      <c r="E903" s="85"/>
      <c r="J903" s="86"/>
      <c r="K903" s="87"/>
      <c r="N903" s="3"/>
    </row>
    <row r="904">
      <c r="D904" s="85"/>
      <c r="E904" s="85"/>
      <c r="J904" s="86"/>
      <c r="K904" s="87"/>
      <c r="N904" s="3"/>
    </row>
    <row r="905">
      <c r="D905" s="85"/>
      <c r="E905" s="85"/>
      <c r="J905" s="86"/>
      <c r="K905" s="87"/>
      <c r="N905" s="3"/>
    </row>
    <row r="906">
      <c r="D906" s="85"/>
      <c r="E906" s="85"/>
      <c r="J906" s="86"/>
      <c r="K906" s="87"/>
      <c r="N906" s="3"/>
    </row>
    <row r="907">
      <c r="D907" s="85"/>
      <c r="E907" s="85"/>
      <c r="J907" s="86"/>
      <c r="K907" s="87"/>
      <c r="N907" s="3"/>
    </row>
    <row r="908">
      <c r="D908" s="85"/>
      <c r="E908" s="85"/>
      <c r="J908" s="86"/>
      <c r="K908" s="87"/>
      <c r="N908" s="3"/>
    </row>
    <row r="909">
      <c r="D909" s="85"/>
      <c r="E909" s="85"/>
      <c r="J909" s="86"/>
      <c r="K909" s="87"/>
      <c r="N909" s="3"/>
    </row>
    <row r="910">
      <c r="D910" s="85"/>
      <c r="E910" s="85"/>
      <c r="J910" s="86"/>
      <c r="K910" s="87"/>
      <c r="N910" s="3"/>
    </row>
    <row r="911">
      <c r="D911" s="85"/>
      <c r="E911" s="85"/>
      <c r="J911" s="86"/>
      <c r="K911" s="87"/>
      <c r="N911" s="3"/>
    </row>
    <row r="912">
      <c r="D912" s="85"/>
      <c r="E912" s="85"/>
      <c r="J912" s="86"/>
      <c r="K912" s="87"/>
      <c r="N912" s="3"/>
    </row>
    <row r="913">
      <c r="D913" s="85"/>
      <c r="E913" s="85"/>
      <c r="J913" s="86"/>
      <c r="K913" s="87"/>
      <c r="N913" s="3"/>
    </row>
    <row r="914">
      <c r="D914" s="85"/>
      <c r="E914" s="85"/>
      <c r="J914" s="86"/>
      <c r="K914" s="87"/>
      <c r="N914" s="3"/>
    </row>
    <row r="915">
      <c r="D915" s="85"/>
      <c r="E915" s="85"/>
      <c r="J915" s="86"/>
      <c r="K915" s="87"/>
      <c r="N915" s="3"/>
    </row>
    <row r="916">
      <c r="D916" s="85"/>
      <c r="E916" s="85"/>
      <c r="J916" s="86"/>
      <c r="K916" s="87"/>
      <c r="N916" s="3"/>
    </row>
    <row r="917">
      <c r="D917" s="85"/>
      <c r="E917" s="85"/>
      <c r="J917" s="86"/>
      <c r="K917" s="87"/>
      <c r="N917" s="3"/>
    </row>
    <row r="918">
      <c r="D918" s="85"/>
      <c r="E918" s="85"/>
      <c r="J918" s="86"/>
      <c r="K918" s="87"/>
      <c r="N918" s="3"/>
    </row>
    <row r="919">
      <c r="D919" s="85"/>
      <c r="E919" s="85"/>
      <c r="J919" s="86"/>
      <c r="K919" s="87"/>
      <c r="N919" s="3"/>
    </row>
    <row r="920">
      <c r="D920" s="85"/>
      <c r="E920" s="85"/>
      <c r="J920" s="86"/>
      <c r="K920" s="87"/>
      <c r="N920" s="3"/>
    </row>
    <row r="921">
      <c r="D921" s="85"/>
      <c r="E921" s="85"/>
      <c r="J921" s="86"/>
      <c r="K921" s="87"/>
      <c r="N921" s="3"/>
    </row>
    <row r="922">
      <c r="D922" s="85"/>
      <c r="E922" s="85"/>
      <c r="J922" s="86"/>
      <c r="K922" s="87"/>
      <c r="N922" s="3"/>
    </row>
    <row r="923">
      <c r="D923" s="85"/>
      <c r="E923" s="85"/>
      <c r="J923" s="86"/>
      <c r="K923" s="87"/>
      <c r="N923" s="3"/>
    </row>
    <row r="924">
      <c r="D924" s="85"/>
      <c r="E924" s="85"/>
      <c r="J924" s="86"/>
      <c r="K924" s="87"/>
      <c r="N924" s="3"/>
    </row>
    <row r="925">
      <c r="D925" s="85"/>
      <c r="E925" s="85"/>
      <c r="J925" s="86"/>
      <c r="K925" s="87"/>
      <c r="N925" s="3"/>
    </row>
    <row r="926">
      <c r="D926" s="85"/>
      <c r="E926" s="85"/>
      <c r="J926" s="86"/>
      <c r="K926" s="87"/>
      <c r="N926" s="3"/>
    </row>
    <row r="927">
      <c r="D927" s="85"/>
      <c r="E927" s="85"/>
      <c r="J927" s="86"/>
      <c r="K927" s="87"/>
      <c r="N927" s="3"/>
    </row>
    <row r="928">
      <c r="D928" s="85"/>
      <c r="E928" s="85"/>
      <c r="J928" s="86"/>
      <c r="K928" s="87"/>
      <c r="N928" s="3"/>
    </row>
    <row r="929">
      <c r="D929" s="85"/>
      <c r="E929" s="85"/>
      <c r="J929" s="86"/>
      <c r="K929" s="87"/>
      <c r="N929" s="3"/>
    </row>
    <row r="930">
      <c r="D930" s="85"/>
      <c r="E930" s="85"/>
      <c r="J930" s="86"/>
      <c r="K930" s="87"/>
      <c r="N930" s="3"/>
    </row>
    <row r="931">
      <c r="D931" s="85"/>
      <c r="E931" s="85"/>
      <c r="J931" s="86"/>
      <c r="K931" s="87"/>
      <c r="N931" s="3"/>
    </row>
    <row r="932">
      <c r="D932" s="85"/>
      <c r="E932" s="85"/>
      <c r="J932" s="86"/>
      <c r="K932" s="87"/>
      <c r="N932" s="3"/>
    </row>
    <row r="933">
      <c r="D933" s="85"/>
      <c r="E933" s="85"/>
      <c r="J933" s="86"/>
      <c r="K933" s="87"/>
      <c r="N933" s="3"/>
    </row>
    <row r="934">
      <c r="D934" s="85"/>
      <c r="E934" s="85"/>
      <c r="J934" s="86"/>
      <c r="K934" s="87"/>
      <c r="N934" s="3"/>
    </row>
    <row r="935">
      <c r="D935" s="85"/>
      <c r="E935" s="85"/>
      <c r="J935" s="86"/>
      <c r="K935" s="87"/>
      <c r="N935" s="3"/>
    </row>
    <row r="936">
      <c r="D936" s="85"/>
      <c r="E936" s="85"/>
      <c r="J936" s="86"/>
      <c r="K936" s="87"/>
      <c r="N936" s="3"/>
    </row>
    <row r="937">
      <c r="D937" s="85"/>
      <c r="E937" s="85"/>
      <c r="J937" s="86"/>
      <c r="K937" s="87"/>
      <c r="N937" s="3"/>
    </row>
    <row r="938">
      <c r="D938" s="85"/>
      <c r="E938" s="85"/>
      <c r="J938" s="86"/>
      <c r="K938" s="87"/>
      <c r="N938" s="3"/>
    </row>
    <row r="939">
      <c r="D939" s="85"/>
      <c r="E939" s="85"/>
      <c r="J939" s="86"/>
      <c r="K939" s="87"/>
      <c r="N939" s="3"/>
    </row>
    <row r="940">
      <c r="D940" s="85"/>
      <c r="E940" s="85"/>
      <c r="J940" s="86"/>
      <c r="K940" s="87"/>
      <c r="N940" s="3"/>
    </row>
    <row r="941">
      <c r="D941" s="85"/>
      <c r="E941" s="85"/>
      <c r="J941" s="86"/>
      <c r="K941" s="87"/>
      <c r="N941" s="3"/>
    </row>
    <row r="942">
      <c r="D942" s="85"/>
      <c r="E942" s="85"/>
      <c r="J942" s="86"/>
      <c r="K942" s="87"/>
      <c r="N942" s="3"/>
    </row>
    <row r="943">
      <c r="D943" s="85"/>
      <c r="E943" s="85"/>
      <c r="J943" s="86"/>
      <c r="K943" s="87"/>
      <c r="N943" s="3"/>
    </row>
    <row r="944">
      <c r="D944" s="85"/>
      <c r="E944" s="85"/>
      <c r="J944" s="86"/>
      <c r="K944" s="87"/>
      <c r="N944" s="3"/>
    </row>
    <row r="945">
      <c r="D945" s="85"/>
      <c r="E945" s="85"/>
      <c r="J945" s="86"/>
      <c r="K945" s="87"/>
      <c r="N945" s="3"/>
    </row>
    <row r="946">
      <c r="D946" s="85"/>
      <c r="E946" s="85"/>
      <c r="J946" s="86"/>
      <c r="K946" s="87"/>
      <c r="N946" s="3"/>
    </row>
    <row r="947">
      <c r="D947" s="85"/>
      <c r="E947" s="85"/>
      <c r="J947" s="86"/>
      <c r="K947" s="87"/>
      <c r="N947" s="3"/>
    </row>
    <row r="948">
      <c r="D948" s="85"/>
      <c r="E948" s="85"/>
      <c r="J948" s="86"/>
      <c r="K948" s="87"/>
      <c r="N948" s="3"/>
    </row>
    <row r="949">
      <c r="D949" s="85"/>
      <c r="E949" s="85"/>
      <c r="J949" s="86"/>
      <c r="K949" s="87"/>
      <c r="N949" s="3"/>
    </row>
    <row r="950">
      <c r="D950" s="85"/>
      <c r="E950" s="85"/>
      <c r="J950" s="86"/>
      <c r="K950" s="87"/>
      <c r="N950" s="3"/>
    </row>
    <row r="951">
      <c r="D951" s="85"/>
      <c r="E951" s="85"/>
      <c r="J951" s="86"/>
      <c r="K951" s="87"/>
      <c r="N951" s="3"/>
    </row>
    <row r="952">
      <c r="D952" s="85"/>
      <c r="E952" s="85"/>
      <c r="J952" s="86"/>
      <c r="K952" s="87"/>
      <c r="N952" s="3"/>
    </row>
    <row r="953">
      <c r="D953" s="85"/>
      <c r="E953" s="85"/>
      <c r="J953" s="86"/>
      <c r="K953" s="87"/>
      <c r="N953" s="3"/>
    </row>
    <row r="954">
      <c r="D954" s="85"/>
      <c r="E954" s="85"/>
      <c r="J954" s="86"/>
      <c r="K954" s="87"/>
      <c r="N954" s="3"/>
    </row>
    <row r="955">
      <c r="D955" s="85"/>
      <c r="E955" s="85"/>
      <c r="J955" s="86"/>
      <c r="K955" s="87"/>
      <c r="N955" s="3"/>
    </row>
    <row r="956">
      <c r="D956" s="85"/>
      <c r="E956" s="85"/>
      <c r="J956" s="86"/>
      <c r="K956" s="87"/>
      <c r="N956" s="3"/>
    </row>
    <row r="957">
      <c r="D957" s="85"/>
      <c r="E957" s="85"/>
      <c r="J957" s="86"/>
      <c r="K957" s="87"/>
      <c r="N957" s="3"/>
    </row>
    <row r="958">
      <c r="D958" s="85"/>
      <c r="E958" s="85"/>
      <c r="J958" s="86"/>
      <c r="K958" s="87"/>
      <c r="N958" s="3"/>
    </row>
    <row r="959">
      <c r="D959" s="85"/>
      <c r="E959" s="85"/>
      <c r="J959" s="86"/>
      <c r="K959" s="87"/>
      <c r="N959" s="3"/>
    </row>
    <row r="960">
      <c r="D960" s="85"/>
      <c r="E960" s="85"/>
      <c r="J960" s="86"/>
      <c r="K960" s="87"/>
      <c r="N960" s="3"/>
    </row>
    <row r="961">
      <c r="D961" s="85"/>
      <c r="E961" s="85"/>
      <c r="J961" s="86"/>
      <c r="K961" s="87"/>
      <c r="N961" s="3"/>
    </row>
    <row r="962">
      <c r="D962" s="85"/>
      <c r="E962" s="85"/>
      <c r="J962" s="86"/>
      <c r="K962" s="87"/>
      <c r="N962" s="3"/>
    </row>
    <row r="963">
      <c r="D963" s="85"/>
      <c r="E963" s="85"/>
      <c r="J963" s="86"/>
      <c r="K963" s="87"/>
      <c r="N963" s="3"/>
    </row>
    <row r="964">
      <c r="D964" s="85"/>
      <c r="E964" s="85"/>
      <c r="J964" s="86"/>
      <c r="K964" s="87"/>
      <c r="N964" s="3"/>
    </row>
    <row r="965">
      <c r="D965" s="85"/>
      <c r="E965" s="85"/>
      <c r="J965" s="86"/>
      <c r="K965" s="87"/>
      <c r="N965" s="3"/>
    </row>
    <row r="966">
      <c r="D966" s="85"/>
      <c r="E966" s="85"/>
      <c r="J966" s="86"/>
      <c r="K966" s="87"/>
      <c r="N966" s="3"/>
    </row>
    <row r="967">
      <c r="D967" s="85"/>
      <c r="E967" s="85"/>
      <c r="J967" s="86"/>
      <c r="K967" s="87"/>
      <c r="N967" s="3"/>
    </row>
    <row r="968">
      <c r="D968" s="85"/>
      <c r="E968" s="85"/>
      <c r="J968" s="86"/>
      <c r="K968" s="87"/>
      <c r="N968" s="3"/>
    </row>
    <row r="969">
      <c r="D969" s="85"/>
      <c r="E969" s="85"/>
      <c r="J969" s="86"/>
      <c r="K969" s="87"/>
      <c r="N969" s="3"/>
    </row>
    <row r="970">
      <c r="D970" s="85"/>
      <c r="E970" s="85"/>
      <c r="J970" s="86"/>
      <c r="K970" s="87"/>
      <c r="N970" s="3"/>
    </row>
    <row r="971">
      <c r="D971" s="85"/>
      <c r="E971" s="85"/>
      <c r="J971" s="86"/>
      <c r="K971" s="87"/>
      <c r="N971" s="3"/>
    </row>
    <row r="972">
      <c r="D972" s="85"/>
      <c r="E972" s="85"/>
      <c r="J972" s="86"/>
      <c r="K972" s="87"/>
      <c r="N972" s="3"/>
    </row>
    <row r="973">
      <c r="D973" s="85"/>
      <c r="E973" s="85"/>
      <c r="J973" s="86"/>
      <c r="K973" s="87"/>
      <c r="N973" s="3"/>
    </row>
    <row r="974">
      <c r="D974" s="85"/>
      <c r="E974" s="85"/>
      <c r="J974" s="86"/>
      <c r="K974" s="87"/>
      <c r="N974" s="3"/>
    </row>
    <row r="975">
      <c r="D975" s="85"/>
      <c r="E975" s="85"/>
      <c r="J975" s="86"/>
      <c r="K975" s="87"/>
      <c r="N975" s="3"/>
    </row>
    <row r="976">
      <c r="D976" s="85"/>
      <c r="E976" s="85"/>
      <c r="J976" s="86"/>
      <c r="K976" s="87"/>
      <c r="N976" s="3"/>
    </row>
    <row r="977">
      <c r="D977" s="85"/>
      <c r="E977" s="85"/>
      <c r="J977" s="86"/>
      <c r="K977" s="87"/>
      <c r="N977" s="3"/>
    </row>
    <row r="978">
      <c r="D978" s="85"/>
      <c r="E978" s="85"/>
      <c r="J978" s="86"/>
      <c r="K978" s="87"/>
      <c r="N978" s="3"/>
    </row>
    <row r="979">
      <c r="D979" s="85"/>
      <c r="E979" s="85"/>
      <c r="J979" s="86"/>
      <c r="K979" s="87"/>
      <c r="N979" s="3"/>
    </row>
    <row r="980">
      <c r="D980" s="85"/>
      <c r="E980" s="85"/>
      <c r="J980" s="86"/>
      <c r="K980" s="87"/>
      <c r="N980" s="3"/>
    </row>
    <row r="981">
      <c r="D981" s="85"/>
      <c r="E981" s="85"/>
      <c r="J981" s="86"/>
      <c r="K981" s="87"/>
      <c r="N981" s="3"/>
    </row>
    <row r="982">
      <c r="D982" s="85"/>
      <c r="E982" s="85"/>
      <c r="J982" s="86"/>
      <c r="K982" s="87"/>
      <c r="N982" s="3"/>
    </row>
    <row r="983">
      <c r="D983" s="85"/>
      <c r="E983" s="85"/>
      <c r="J983" s="86"/>
      <c r="K983" s="87"/>
      <c r="N983" s="3"/>
    </row>
    <row r="984">
      <c r="D984" s="85"/>
      <c r="E984" s="85"/>
      <c r="J984" s="86"/>
      <c r="K984" s="87"/>
      <c r="N984" s="3"/>
    </row>
    <row r="985">
      <c r="D985" s="85"/>
      <c r="E985" s="85"/>
      <c r="J985" s="86"/>
      <c r="K985" s="87"/>
      <c r="N985" s="3"/>
    </row>
    <row r="986">
      <c r="D986" s="85"/>
      <c r="E986" s="85"/>
      <c r="J986" s="86"/>
      <c r="K986" s="87"/>
      <c r="N986" s="3"/>
    </row>
    <row r="987">
      <c r="D987" s="85"/>
      <c r="E987" s="85"/>
      <c r="J987" s="86"/>
      <c r="K987" s="87"/>
      <c r="N987" s="3"/>
    </row>
    <row r="988">
      <c r="D988" s="85"/>
      <c r="E988" s="85"/>
      <c r="J988" s="86"/>
      <c r="K988" s="87"/>
      <c r="N988" s="3"/>
    </row>
    <row r="989">
      <c r="D989" s="85"/>
      <c r="E989" s="85"/>
      <c r="J989" s="86"/>
      <c r="K989" s="87"/>
      <c r="N989" s="3"/>
    </row>
    <row r="990">
      <c r="D990" s="85"/>
      <c r="E990" s="85"/>
      <c r="J990" s="86"/>
      <c r="K990" s="87"/>
      <c r="N990" s="3"/>
    </row>
    <row r="991">
      <c r="D991" s="85"/>
      <c r="E991" s="85"/>
      <c r="J991" s="86"/>
      <c r="K991" s="87"/>
      <c r="N991" s="3"/>
    </row>
    <row r="992">
      <c r="D992" s="85"/>
      <c r="E992" s="85"/>
      <c r="J992" s="86"/>
      <c r="K992" s="87"/>
      <c r="N992" s="3"/>
    </row>
    <row r="993">
      <c r="D993" s="85"/>
      <c r="E993" s="85"/>
      <c r="J993" s="86"/>
      <c r="K993" s="87"/>
      <c r="N993" s="3"/>
    </row>
    <row r="994">
      <c r="D994" s="85"/>
      <c r="E994" s="85"/>
      <c r="J994" s="86"/>
      <c r="K994" s="87"/>
      <c r="N994" s="3"/>
    </row>
    <row r="995">
      <c r="D995" s="85"/>
      <c r="E995" s="85"/>
      <c r="J995" s="86"/>
      <c r="K995" s="87"/>
      <c r="N995" s="3"/>
    </row>
    <row r="996">
      <c r="D996" s="85"/>
      <c r="E996" s="85"/>
      <c r="J996" s="86"/>
      <c r="K996" s="87"/>
      <c r="N996" s="3"/>
    </row>
    <row r="997">
      <c r="D997" s="85"/>
      <c r="E997" s="85"/>
      <c r="J997" s="86"/>
      <c r="K997" s="87"/>
      <c r="N997" s="3"/>
    </row>
    <row r="998">
      <c r="D998" s="85"/>
      <c r="E998" s="85"/>
      <c r="J998" s="86"/>
      <c r="K998" s="87"/>
      <c r="N998" s="3"/>
    </row>
    <row r="999">
      <c r="D999" s="85"/>
      <c r="E999" s="85"/>
      <c r="J999" s="86"/>
      <c r="K999" s="87"/>
      <c r="N999" s="3"/>
    </row>
    <row r="1000">
      <c r="D1000" s="85"/>
      <c r="E1000" s="85"/>
      <c r="J1000" s="86"/>
      <c r="K1000" s="87"/>
      <c r="N1000" s="3"/>
    </row>
    <row r="1001">
      <c r="D1001" s="85"/>
      <c r="E1001" s="85"/>
      <c r="J1001" s="86"/>
      <c r="K1001" s="87"/>
      <c r="N1001" s="3"/>
    </row>
    <row r="1002">
      <c r="D1002" s="85"/>
      <c r="E1002" s="85"/>
      <c r="J1002" s="86"/>
      <c r="K1002" s="87"/>
      <c r="N1002" s="3"/>
    </row>
    <row r="1003">
      <c r="D1003" s="85"/>
      <c r="E1003" s="85"/>
      <c r="J1003" s="86"/>
      <c r="K1003" s="87"/>
      <c r="N1003" s="3"/>
    </row>
  </sheetData>
  <mergeCells count="20">
    <mergeCell ref="F3:F12"/>
    <mergeCell ref="G7:I7"/>
    <mergeCell ref="G12:I12"/>
    <mergeCell ref="A3:A12"/>
    <mergeCell ref="B3:B12"/>
    <mergeCell ref="C3:C12"/>
    <mergeCell ref="D3:D12"/>
    <mergeCell ref="E3:E12"/>
    <mergeCell ref="M3:M12"/>
    <mergeCell ref="N3:N12"/>
    <mergeCell ref="F16:F17"/>
    <mergeCell ref="M16:M17"/>
    <mergeCell ref="N16:N17"/>
    <mergeCell ref="A13:A15"/>
    <mergeCell ref="B13:B15"/>
    <mergeCell ref="A16:A17"/>
    <mergeCell ref="B16:B17"/>
    <mergeCell ref="C16:C17"/>
    <mergeCell ref="D16:D17"/>
    <mergeCell ref="E16:E17"/>
  </mergeCells>
  <hyperlinks>
    <hyperlink r:id="rId1" ref="M2"/>
    <hyperlink r:id="rId2" ref="M3"/>
    <hyperlink r:id="rId3" ref="M13"/>
    <hyperlink r:id="rId4" ref="M14"/>
    <hyperlink r:id="rId5" ref="M15"/>
    <hyperlink r:id="rId6" ref="M16"/>
  </hyperlinks>
  <drawing r:id="rId7"/>
</worksheet>
</file>